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2780" windowHeight="14540" tabRatio="600" firstSheet="0" activeTab="1" autoFilterDateGrouping="1"/>
  </bookViews>
  <sheets>
    <sheet name="Read Me" sheetId="1" state="visible" r:id="rId1"/>
    <sheet name="Maturity Matrix" sheetId="2" state="visible" r:id="rId2"/>
    <sheet name="Assessment" sheetId="3" state="visible" r:id="rId3"/>
    <sheet name="Evidence Guide" sheetId="4" state="visible" r:id="rId4"/>
    <sheet name="Reference" sheetId="5" state="visible" r:id="rId5"/>
    <sheet name="Intent Loop" sheetId="6" state="visible" r:id="rId6"/>
  </sheets>
  <definedNames/>
  <calcPr calcId="191029" fullCalcOnLoad="1"/>
</workbook>
</file>

<file path=xl/styles.xml><?xml version="1.0" encoding="utf-8"?>
<styleSheet xmlns="http://schemas.openxmlformats.org/spreadsheetml/2006/main">
  <numFmts count="0"/>
  <fonts count="9">
    <font>
      <name val="Carlito"/>
      <sz val="11"/>
    </font>
    <font>
      <name val="Aptos"/>
      <b val="1"/>
      <color rgb="FF38444D"/>
      <sz val="10"/>
    </font>
    <font>
      <name val="Aptos"/>
      <color rgb="FF38444D"/>
      <sz val="10"/>
    </font>
    <font>
      <name val="Aptos"/>
      <i val="1"/>
      <color rgb="FF38444D"/>
      <sz val="10"/>
    </font>
    <font>
      <name val="Aptos"/>
      <b val="1"/>
      <color rgb="FFFFFFFF"/>
      <sz val="18"/>
    </font>
    <font>
      <name val="Aptos"/>
      <i val="1"/>
      <color rgb="FFD9E4F0"/>
      <sz val="10"/>
    </font>
    <font>
      <name val="Aptos"/>
      <b val="1"/>
      <color rgb="FFFFFFFF"/>
      <sz val="10"/>
    </font>
    <font>
      <name val="Aptos"/>
      <b val="1"/>
      <color rgb="FFFFFFFF"/>
      <sz val="11"/>
    </font>
    <font>
      <name val="Aptos"/>
      <b val="1"/>
      <i val="1"/>
      <color rgb="FF38444D"/>
      <sz val="10"/>
    </font>
  </fonts>
  <fills count="21">
    <fill>
      <patternFill/>
    </fill>
    <fill>
      <patternFill patternType="gray125"/>
    </fill>
    <fill>
      <patternFill patternType="solid">
        <fgColor rgb="FF17324D"/>
      </patternFill>
    </fill>
    <fill>
      <patternFill patternType="solid">
        <fgColor rgb="FF2F6B6C"/>
      </patternFill>
    </fill>
    <fill>
      <patternFill patternType="solid">
        <fgColor rgb="FFF4CCCC"/>
      </patternFill>
    </fill>
    <fill>
      <patternFill patternType="solid">
        <fgColor rgb="FFFCE4D6"/>
      </patternFill>
    </fill>
    <fill>
      <patternFill patternType="solid">
        <fgColor rgb="FFFFF2CC"/>
      </patternFill>
    </fill>
    <fill>
      <patternFill patternType="solid">
        <fgColor rgb="FFE2F0D9"/>
      </patternFill>
    </fill>
    <fill>
      <patternFill patternType="solid">
        <fgColor rgb="FFD9EAD3"/>
      </patternFill>
    </fill>
    <fill>
      <patternFill patternType="solid">
        <fgColor rgb="FFDDEBF7"/>
      </patternFill>
    </fill>
    <fill>
      <patternFill patternType="solid">
        <fgColor rgb="FF17324D"/>
      </patternFill>
    </fill>
    <fill>
      <patternFill patternType="solid">
        <fgColor rgb="FF2F6B6C"/>
      </patternFill>
    </fill>
    <fill>
      <patternFill patternType="solid">
        <fgColor rgb="FFEEF1F4"/>
      </patternFill>
    </fill>
    <fill>
      <patternFill patternType="solid">
        <fgColor rgb="FFF4CCCC"/>
      </patternFill>
    </fill>
    <fill>
      <patternFill patternType="solid">
        <fgColor rgb="FFFCE4D6"/>
      </patternFill>
    </fill>
    <fill>
      <patternFill patternType="solid">
        <fgColor rgb="FFFFF2CC"/>
      </patternFill>
    </fill>
    <fill>
      <patternFill patternType="solid">
        <fgColor rgb="FFE2F0D9"/>
      </patternFill>
    </fill>
    <fill>
      <patternFill patternType="solid">
        <fgColor rgb="FFD9EAD3"/>
      </patternFill>
    </fill>
    <fill>
      <patternFill patternType="solid">
        <fgColor rgb="FFDDEBF7"/>
      </patternFill>
    </fill>
    <fill>
      <patternFill patternType="solid">
        <fgColor rgb="FFDDEFEF"/>
      </patternFill>
    </fill>
    <fill>
      <patternFill patternType="solid">
        <fgColor rgb="FFD9E1F2"/>
      </patternFill>
    </fill>
  </fills>
  <borders count="1">
    <border>
      <left/>
      <right/>
      <top/>
      <bottom/>
      <diagonal/>
    </border>
  </borders>
  <cellStyleXfs count="1">
    <xf numFmtId="0" fontId="0" fillId="0" borderId="0"/>
  </cellStyleXfs>
  <cellXfs count="71">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1" fillId="2" borderId="0" applyAlignment="1" pivotButton="0" quotePrefix="0" xfId="0">
      <alignment horizontal="center" vertical="center"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1" fillId="9" borderId="0" applyAlignment="1" pivotButton="0" quotePrefix="0" xfId="0">
      <alignment horizontal="left" vertical="center" wrapText="1"/>
    </xf>
    <xf numFmtId="0" fontId="1" fillId="3" borderId="0" applyAlignment="1" pivotButton="0" quotePrefix="0" xfId="0">
      <alignment horizontal="left" vertical="center" wrapText="1"/>
    </xf>
    <xf numFmtId="0" fontId="1" fillId="7" borderId="0" applyAlignment="1" pivotButton="0" quotePrefix="0" xfId="0">
      <alignment horizontal="left" vertical="center" wrapText="1"/>
    </xf>
    <xf numFmtId="0" fontId="1" fillId="9" borderId="0" applyAlignment="1" pivotButton="0" quotePrefix="0" xfId="0">
      <alignment vertical="top" wrapText="1"/>
    </xf>
    <xf numFmtId="0" fontId="6" fillId="10" borderId="0" applyAlignment="1" pivotButton="0" quotePrefix="0" xfId="0">
      <alignment horizontal="center" vertical="center" wrapText="1"/>
    </xf>
    <xf numFmtId="0" fontId="7" fillId="11" borderId="0" applyAlignment="1" pivotButton="0" quotePrefix="0" xfId="0">
      <alignment horizontal="left" vertical="center" wrapText="1"/>
    </xf>
    <xf numFmtId="0" fontId="3" fillId="12" borderId="0" applyAlignment="1" pivotButton="0" quotePrefix="0" xfId="0">
      <alignment vertical="top" wrapText="1"/>
    </xf>
    <xf numFmtId="0" fontId="1" fillId="13" borderId="0" applyAlignment="1" pivotButton="0" quotePrefix="0" xfId="0">
      <alignment vertical="top" wrapText="1"/>
    </xf>
    <xf numFmtId="0" fontId="2" fillId="13" borderId="0" applyAlignment="1" pivotButton="0" quotePrefix="0" xfId="0">
      <alignment vertical="top" wrapText="1"/>
    </xf>
    <xf numFmtId="0" fontId="1" fillId="14" borderId="0" applyAlignment="1" pivotButton="0" quotePrefix="0" xfId="0">
      <alignment vertical="top" wrapText="1"/>
    </xf>
    <xf numFmtId="0" fontId="2" fillId="14" borderId="0" applyAlignment="1" pivotButton="0" quotePrefix="0" xfId="0">
      <alignment vertical="top" wrapText="1"/>
    </xf>
    <xf numFmtId="0" fontId="1" fillId="15" borderId="0" applyAlignment="1" pivotButton="0" quotePrefix="0" xfId="0">
      <alignment vertical="top" wrapText="1"/>
    </xf>
    <xf numFmtId="0" fontId="2" fillId="15" borderId="0" applyAlignment="1" pivotButton="0" quotePrefix="0" xfId="0">
      <alignment vertical="top" wrapText="1"/>
    </xf>
    <xf numFmtId="0" fontId="1" fillId="16" borderId="0" applyAlignment="1" pivotButton="0" quotePrefix="0" xfId="0">
      <alignment vertical="top" wrapText="1"/>
    </xf>
    <xf numFmtId="0" fontId="2" fillId="16" borderId="0" applyAlignment="1" pivotButton="0" quotePrefix="0" xfId="0">
      <alignment vertical="top" wrapText="1"/>
    </xf>
    <xf numFmtId="0" fontId="1" fillId="17" borderId="0" applyAlignment="1" pivotButton="0" quotePrefix="0" xfId="0">
      <alignment vertical="top" wrapText="1"/>
    </xf>
    <xf numFmtId="0" fontId="2" fillId="17" borderId="0" applyAlignment="1" pivotButton="0" quotePrefix="0" xfId="0">
      <alignment vertical="top" wrapText="1"/>
    </xf>
    <xf numFmtId="0" fontId="8" fillId="12" borderId="0" applyAlignment="1" pivotButton="0" quotePrefix="0" xfId="0">
      <alignment horizontal="center" vertical="top" wrapText="1"/>
    </xf>
    <xf numFmtId="0" fontId="8" fillId="12" borderId="0" applyAlignment="1" pivotButton="0" quotePrefix="0" xfId="0">
      <alignment horizontal="left" vertical="top" wrapText="1"/>
    </xf>
    <xf numFmtId="0" fontId="8" fillId="13" borderId="0" applyAlignment="1" pivotButton="0" quotePrefix="0" xfId="0">
      <alignment horizontal="left" vertical="top" wrapText="1"/>
    </xf>
    <xf numFmtId="0" fontId="3" fillId="14" borderId="0" applyAlignment="1" pivotButton="0" quotePrefix="0" xfId="0">
      <alignment vertical="top" wrapText="1"/>
    </xf>
    <xf numFmtId="0" fontId="1" fillId="12" borderId="0" applyAlignment="1" pivotButton="0" quotePrefix="0" xfId="0">
      <alignment vertical="top" wrapText="1"/>
    </xf>
    <xf numFmtId="0" fontId="8" fillId="12" borderId="0" applyAlignment="1" pivotButton="0" quotePrefix="0" xfId="0">
      <alignment vertical="top" wrapText="1"/>
    </xf>
    <xf numFmtId="0" fontId="1" fillId="18" borderId="0" applyAlignment="1" pivotButton="0" quotePrefix="0" xfId="0">
      <alignment vertical="top" wrapText="1"/>
    </xf>
    <xf numFmtId="0" fontId="1" fillId="0" borderId="0" applyAlignment="1" pivotButton="0" quotePrefix="0" xfId="0">
      <alignment horizontal="center" vertical="center"/>
    </xf>
    <xf numFmtId="0" fontId="1" fillId="0" borderId="0" applyAlignment="1" pivotButton="0" quotePrefix="0" xfId="0">
      <alignment horizontal="center"/>
    </xf>
    <xf numFmtId="0" fontId="1" fillId="19" borderId="0" applyAlignment="1" pivotButton="0" quotePrefix="0" xfId="0">
      <alignment vertical="top" wrapText="1"/>
    </xf>
    <xf numFmtId="0" fontId="1" fillId="20" borderId="0" applyAlignment="1" pivotButton="0" quotePrefix="0" xfId="0">
      <alignment vertical="top" wrapText="1"/>
    </xf>
    <xf numFmtId="0" fontId="3" fillId="12" borderId="0" applyAlignment="1" pivotButton="0" quotePrefix="0" xfId="0">
      <alignment vertical="top" wrapText="1"/>
    </xf>
    <xf numFmtId="0" fontId="7" fillId="11" borderId="0" applyAlignment="1" pivotButton="0" quotePrefix="0" xfId="0">
      <alignment horizontal="left" vertical="center"/>
    </xf>
    <xf numFmtId="0" fontId="4" fillId="10" borderId="0" applyAlignment="1" pivotButton="0" quotePrefix="0" xfId="0">
      <alignment horizontal="left" vertical="center"/>
    </xf>
    <xf numFmtId="0" fontId="1" fillId="2" borderId="0" applyAlignment="1" pivotButton="0" quotePrefix="0" xfId="0">
      <alignment horizontal="left" vertical="center"/>
    </xf>
    <xf numFmtId="0" fontId="5" fillId="10" borderId="0" applyAlignment="1" pivotButton="0" quotePrefix="0" xfId="0">
      <alignment horizontal="left" vertical="center"/>
    </xf>
    <xf numFmtId="0" fontId="3" fillId="2" borderId="0" applyAlignment="1" pivotButton="0" quotePrefix="0" xfId="0">
      <alignment horizontal="left" vertical="center"/>
    </xf>
    <xf numFmtId="0" fontId="7" fillId="11" borderId="0" applyAlignment="1" pivotButton="0" quotePrefix="0" xfId="0">
      <alignment horizontal="left" vertical="center" wrapText="1"/>
    </xf>
    <xf numFmtId="0" fontId="2" fillId="0" borderId="0" applyAlignment="1" pivotButton="0" quotePrefix="0" xfId="0">
      <alignment vertical="top" wrapText="1"/>
    </xf>
    <xf numFmtId="0" fontId="3" fillId="14" borderId="0" applyAlignment="1" pivotButton="0" quotePrefix="0" xfId="0">
      <alignment vertical="top" wrapText="1"/>
    </xf>
    <xf numFmtId="0" fontId="1" fillId="17" borderId="0" applyAlignment="1" pivotButton="0" quotePrefix="0" xfId="0">
      <alignment horizontal="left" vertical="center" wrapText="1"/>
    </xf>
    <xf numFmtId="0" fontId="6" fillId="10" borderId="0" applyAlignment="1" pivotButton="0" quotePrefix="0" xfId="0">
      <alignment horizontal="center" vertical="center" wrapText="1"/>
    </xf>
    <xf numFmtId="0" fontId="3" fillId="13"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1" fillId="3" borderId="0" applyAlignment="1" pivotButton="0" quotePrefix="0" xfId="0">
      <alignment horizontal="left" vertical="center"/>
    </xf>
    <xf numFmtId="0" fontId="8" fillId="12" borderId="0" applyAlignment="1" pivotButton="0" quotePrefix="0" xfId="0">
      <alignment horizontal="left" vertical="top" wrapText="1"/>
    </xf>
    <xf numFmtId="0" fontId="2" fillId="7"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3" borderId="0" applyAlignment="1" pivotButton="0" quotePrefix="0" xfId="0">
      <alignment horizontal="left" vertical="center" wrapText="1"/>
    </xf>
    <xf numFmtId="0" fontId="8" fillId="12" borderId="0" applyAlignment="1" pivotButton="0" quotePrefix="0" xfId="0">
      <alignment horizontal="center" vertical="top" wrapText="1"/>
    </xf>
    <xf numFmtId="0" fontId="2" fillId="20" borderId="0" applyAlignment="1" pivotButton="0" quotePrefix="0" xfId="0">
      <alignment vertical="top" wrapText="1"/>
    </xf>
    <xf numFmtId="0" fontId="2" fillId="18" borderId="0" applyAlignment="1" pivotButton="0" quotePrefix="0" xfId="0">
      <alignment vertical="top" wrapText="1"/>
    </xf>
    <xf numFmtId="0" fontId="2" fillId="19" borderId="0" applyAlignment="1" pivotButton="0" quotePrefix="0" xfId="0">
      <alignment vertical="top" wrapText="1"/>
    </xf>
    <xf numFmtId="0" fontId="2" fillId="12" borderId="0" applyAlignment="1" pivotButton="0" quotePrefix="0" xfId="0">
      <alignment vertical="top" wrapText="1"/>
    </xf>
    <xf numFmtId="0" fontId="1" fillId="17" borderId="0" applyAlignment="1" pivotButton="0" quotePrefix="0" xfId="0">
      <alignment horizontal="center" vertical="center" wrapText="1"/>
    </xf>
    <xf numFmtId="0" fontId="1" fillId="15" borderId="0" applyAlignment="1" pivotButton="0" quotePrefix="0" xfId="0">
      <alignment horizontal="center" vertical="center" wrapText="1"/>
    </xf>
    <xf numFmtId="0" fontId="1" fillId="16" borderId="0" applyAlignment="1" pivotButton="0" quotePrefix="0" xfId="0">
      <alignment horizontal="center" vertical="center" wrapText="1"/>
    </xf>
    <xf numFmtId="0" fontId="1" fillId="20"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8" borderId="0" applyAlignment="1" pivotButton="0" quotePrefix="0" xfId="0">
      <alignment horizontal="center" vertical="center" wrapText="1"/>
    </xf>
    <xf numFmtId="0" fontId="1" fillId="19" borderId="0" applyAlignment="1" pivotButton="0" quotePrefix="0" xfId="0">
      <alignment horizontal="center" vertical="center" wrapText="1"/>
    </xf>
    <xf numFmtId="0" fontId="1" fillId="12" borderId="0" applyAlignment="1" pivotButton="0" quotePrefix="0" xfId="0">
      <alignment horizontal="center" vertical="center" wrapText="1"/>
    </xf>
  </cellXfs>
  <cellStyles count="1">
    <cellStyle name="Normal" xfId="0" builtinId="0"/>
  </cellStyles>
  <dxfs count="11">
    <dxf>
      <font>
        <b val="1"/>
        <color rgb="FF274E13"/>
      </font>
      <fill>
        <patternFill>
          <bgColor rgb="FFD9EAD3"/>
        </patternFill>
      </fill>
    </dxf>
    <dxf>
      <font>
        <b val="1"/>
        <color rgb="FF274E13"/>
      </font>
      <fill>
        <patternFill>
          <bgColor rgb="FFE2F0D9"/>
        </patternFill>
      </fill>
    </dxf>
    <dxf>
      <font>
        <b val="1"/>
        <color rgb="FF9C6500"/>
      </font>
      <fill>
        <patternFill>
          <bgColor rgb="FFFFF2CC"/>
        </patternFill>
      </fill>
    </dxf>
    <dxf>
      <font>
        <b val="1"/>
        <color rgb="FF9C6500"/>
      </font>
      <fill>
        <patternFill>
          <bgColor rgb="FFFCE4D6"/>
        </patternFill>
      </fill>
    </dxf>
    <dxf>
      <font>
        <b val="1"/>
        <color rgb="FF9C0006"/>
      </font>
      <fill>
        <patternFill>
          <bgColor rgb="FFF4CCCC"/>
        </patternFill>
      </fill>
    </dxf>
    <dxf>
      <font>
        <b val="1"/>
        <color rgb="FF274E13"/>
      </font>
      <fill>
        <patternFill>
          <bgColor rgb="FFD9EAD3"/>
        </patternFill>
      </fill>
    </dxf>
    <dxf>
      <font>
        <b val="1"/>
        <color rgb="FF274E13"/>
      </font>
      <fill>
        <patternFill>
          <bgColor rgb="FFE2F0D9"/>
        </patternFill>
      </fill>
    </dxf>
    <dxf>
      <font>
        <b val="1"/>
        <color rgb="FF9C6500"/>
      </font>
      <fill>
        <patternFill>
          <bgColor rgb="FFFFF2CC"/>
        </patternFill>
      </fill>
    </dxf>
    <dxf>
      <font>
        <b val="1"/>
        <color rgb="FF9C6500"/>
      </font>
      <fill>
        <patternFill>
          <bgColor rgb="FFFCE4D6"/>
        </patternFill>
      </fill>
    </dxf>
    <dxf>
      <font>
        <b val="1"/>
        <color rgb="FF9C0006"/>
      </font>
      <fill>
        <patternFill>
          <bgColor rgb="FFF4CCCC"/>
        </patternFill>
      </fill>
    </dxf>
    <dxf>
      <font>
        <b val="1"/>
        <color rgb="FF9C0006"/>
      </font>
      <fill>
        <patternFill>
          <bgColor rgb="FFF4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col"/>
        <grouping val="clustered"/>
        <varyColors val="0"/>
        <ser>
          <idx val="0"/>
          <order val="0"/>
          <tx>
            <v>Current Score</v>
          </tx>
          <spPr>
            <a:ln>
              <a:prstDash val="solid"/>
            </a:ln>
          </spPr>
          <invertIfNegative val="1"/>
          <cat>
            <strRef>
              <f>Assessment!$A$11:$A$13</f>
              <strCache>
                <ptCount val="3"/>
                <pt idx="0">
                  <v>Value Model Coherence</v>
                </pt>
                <pt idx="1">
                  <v>Decision Governance &amp; Portfolio Integration</v>
                </pt>
                <pt idx="2">
                  <v>Outcome Calibration &amp; Adaptation</v>
                </pt>
              </strCache>
            </strRef>
          </cat>
          <val>
            <numRef>
              <f>Assessment!$C$11:$C$13</f>
              <numCache>
                <formatCode>General</formatCode>
                <ptCount val="3"/>
                <pt idx="0">
                  <v>0</v>
                </pt>
                <pt idx="1">
                  <v>0</v>
                </pt>
                <pt idx="2">
                  <v>0</v>
                </pt>
              </numCache>
            </numRef>
          </val>
        </ser>
        <ser>
          <idx val="1"/>
          <order val="1"/>
          <tx>
            <v>Target Score</v>
          </tx>
          <spPr>
            <a:ln>
              <a:prstDash val="solid"/>
            </a:ln>
          </spPr>
          <invertIfNegative val="1"/>
          <cat>
            <strRef>
              <f>Assessment!$A$11:$A$13</f>
              <strCache>
                <ptCount val="3"/>
                <pt idx="0">
                  <v>Value Model Coherence</v>
                </pt>
                <pt idx="1">
                  <v>Decision Governance &amp; Portfolio Integration</v>
                </pt>
                <pt idx="2">
                  <v>Outcome Calibration &amp; Adaptation</v>
                </pt>
              </strCache>
            </strRef>
          </cat>
          <val>
            <numRef>
              <f>Assessment!$F$11:$F$13</f>
              <numCache>
                <formatCode>General</formatCode>
                <ptCount val="3"/>
                <pt idx="0">
                  <v>0</v>
                </pt>
                <pt idx="1">
                  <v>0</v>
                </pt>
                <pt idx="2">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1"/>
        <majorTickMark val="none"/>
        <minorTickMark val="none"/>
        <tickLblPos val="nextTo"/>
        <txPr>
          <a:bodyPr anchorCtr="1"/>
          <a:lstStyle/>
          <a:p>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ln>
          </spPr>
        </majorGridlines>
        <title>
          <tx>
            <rich>
              <a:bodyPr/>
              <a:lstStyle/>
              <a:p>
                <a:r>
                  <a:t>Maturity Score (A=1, E=5)</a:t>
                </a:r>
              </a:p>
            </rich>
          </tx>
          <overlay val="0"/>
        </title>
        <numFmt formatCode="0" sourceLinked="0"/>
        <majorTickMark val="none"/>
        <minorTickMark val="none"/>
        <tickLblPos val="nextTo"/>
        <crossAx val="48650112"/>
        <crosses val="autoZero"/>
        <crossBetween val="between"/>
      </valAx>
    </plotArea>
    <legend>
      <legendPos val="b"/>
      <overlay val="0"/>
    </legend>
    <plotVisOnly val="1"/>
    <dispBlanksAs val="zero"/>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0</colOff>
      <row>3</row>
      <rowOff>0</rowOff>
    </from>
    <to>
      <col>18</col>
      <colOff>0</colOff>
      <row>18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EvidenceGuideTable" displayName="EvidenceGuideTable" ref="A4:F16" headerRowCount="1">
  <tableColumns count="6">
    <tableColumn id="1" name="Dimension"/>
    <tableColumn id="2" name="Diagnostic Question"/>
    <tableColumn id="3" name="Evidence to Request"/>
    <tableColumn id="4" name="Weak Signal"/>
    <tableColumn id="5" name="Strong Signal"/>
    <tableColumn id="6" name="Assessment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
  <cols>
    <col width="8" customWidth="1" min="1" max="1"/>
    <col width="39" customWidth="1" min="2" max="2"/>
    <col width="16" customWidth="1" min="3" max="8"/>
  </cols>
  <sheetData>
    <row r="1" ht="20" customHeight="1">
      <c r="A1" s="39" t="inlineStr">
        <is>
          <t>AI-Native Product Prioritization Maturity Model</t>
        </is>
      </c>
      <c r="I1" s="1" t="n"/>
      <c r="J1" s="1" t="n"/>
      <c r="K1" s="1" t="n"/>
      <c r="L1" s="1" t="n"/>
      <c r="M1" s="1" t="n"/>
      <c r="N1" s="1" t="n"/>
      <c r="O1" s="1" t="n"/>
      <c r="P1" s="1" t="n"/>
      <c r="Q1" s="1" t="n"/>
      <c r="R1" s="1" t="n"/>
      <c r="S1" s="1" t="n"/>
      <c r="T1" s="1" t="n"/>
      <c r="U1" s="1" t="n"/>
      <c r="V1" s="1" t="n"/>
      <c r="W1" s="1" t="n"/>
      <c r="X1" s="1" t="n"/>
      <c r="Y1" s="1" t="n"/>
      <c r="Z1" s="1" t="n"/>
    </row>
    <row r="2" ht="13.4" customHeight="1">
      <c r="A2" s="41" t="inlineStr">
        <is>
          <t>Version 1.0 · Final draft · Three dimension-specific A–E maturity ladders</t>
        </is>
      </c>
      <c r="I2" s="1" t="n"/>
      <c r="J2" s="1" t="n"/>
      <c r="K2" s="1" t="n"/>
      <c r="L2" s="1" t="n"/>
      <c r="M2" s="1" t="n"/>
      <c r="N2" s="1" t="n"/>
      <c r="O2" s="1" t="n"/>
      <c r="P2" s="1" t="n"/>
      <c r="Q2" s="1" t="n"/>
      <c r="R2" s="1" t="n"/>
      <c r="S2" s="1" t="n"/>
      <c r="T2" s="1" t="n"/>
      <c r="U2" s="1" t="n"/>
      <c r="V2" s="1" t="n"/>
      <c r="W2" s="1" t="n"/>
      <c r="X2" s="1" t="n"/>
      <c r="Y2" s="1" t="n"/>
      <c r="Z2" s="1" t="n"/>
    </row>
    <row r="3">
      <c r="A3" s="1" t="inlineStr">
        <is>
          <t>Note on versioning: "Version 1.0" above is this workbook's own personal file-versioning, not a claim about the AI-Native Maturity Model family's formal governance-lock status (which uses the same v0.9/v1.0 language to mean something specific and separately decided). The two version counters are independent; this workbook reaching "1.0" does not mean the family has formally locked it.</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5" customHeight="1">
      <c r="A4" s="38" t="inlineStr">
        <is>
          <t>Purpose</t>
        </is>
      </c>
      <c r="I4" s="1" t="n"/>
      <c r="J4" s="1" t="n"/>
      <c r="K4" s="1" t="n"/>
      <c r="L4" s="1" t="n"/>
      <c r="M4" s="1" t="n"/>
      <c r="N4" s="1" t="n"/>
      <c r="O4" s="1" t="n"/>
      <c r="P4" s="1" t="n"/>
      <c r="Q4" s="1" t="n"/>
      <c r="R4" s="1" t="n"/>
      <c r="S4" s="1" t="n"/>
      <c r="T4" s="1" t="n"/>
      <c r="U4" s="1" t="n"/>
      <c r="V4" s="1" t="n"/>
      <c r="W4" s="1" t="n"/>
      <c r="X4" s="1" t="n"/>
      <c r="Y4" s="1" t="n"/>
      <c r="Z4" s="1" t="n"/>
    </row>
    <row r="5">
      <c r="A5" s="44" t="inlineStr">
        <is>
          <t>This model appraises an organization's product prioritization capability—not the elegance of a single scorecard or roadmap decision. Level A is the least mature state; Level E is the most mature. Each step describes a realistically adjacent operating state specific to the dimension.</t>
        </is>
      </c>
      <c r="I5" s="1" t="n"/>
      <c r="J5" s="1" t="n"/>
      <c r="K5" s="1" t="n"/>
      <c r="L5" s="1" t="n"/>
      <c r="M5" s="1" t="n"/>
      <c r="N5" s="1" t="n"/>
      <c r="O5" s="1" t="n"/>
      <c r="P5" s="1" t="n"/>
      <c r="Q5" s="1" t="n"/>
      <c r="R5" s="1" t="n"/>
      <c r="S5" s="1" t="n"/>
      <c r="T5" s="1" t="n"/>
      <c r="U5" s="1" t="n"/>
      <c r="V5" s="1" t="n"/>
      <c r="W5" s="1" t="n"/>
      <c r="X5" s="1" t="n"/>
      <c r="Y5" s="1" t="n"/>
      <c r="Z5" s="1" t="n"/>
    </row>
    <row r="6">
      <c r="I6" s="1" t="n"/>
      <c r="J6" s="1" t="n"/>
      <c r="K6" s="1" t="n"/>
      <c r="L6" s="1" t="n"/>
      <c r="M6" s="1" t="n"/>
      <c r="N6" s="1" t="n"/>
      <c r="O6" s="1" t="n"/>
      <c r="P6" s="1" t="n"/>
      <c r="Q6" s="1" t="n"/>
      <c r="R6" s="1" t="n"/>
      <c r="S6" s="1" t="n"/>
      <c r="T6" s="1" t="n"/>
      <c r="U6" s="1" t="n"/>
      <c r="V6" s="1" t="n"/>
      <c r="W6" s="1" t="n"/>
      <c r="X6" s="1" t="n"/>
      <c r="Y6" s="1" t="n"/>
      <c r="Z6" s="1" t="n"/>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4.5" customHeight="1">
      <c r="A8" s="38" t="inlineStr">
        <is>
          <t>AI-native design rule</t>
        </is>
      </c>
      <c r="I8" s="1" t="n"/>
      <c r="J8" s="1" t="n"/>
      <c r="K8" s="1" t="n"/>
      <c r="L8" s="1" t="n"/>
      <c r="M8" s="1" t="n"/>
      <c r="N8" s="1" t="n"/>
      <c r="O8" s="1" t="n"/>
      <c r="P8" s="1" t="n"/>
      <c r="Q8" s="1" t="n"/>
      <c r="R8" s="1" t="n"/>
      <c r="S8" s="1" t="n"/>
      <c r="T8" s="1" t="n"/>
      <c r="U8" s="1" t="n"/>
      <c r="V8" s="1" t="n"/>
      <c r="W8" s="1" t="n"/>
      <c r="X8" s="1" t="n"/>
      <c r="Y8" s="1" t="n"/>
      <c r="Z8" s="1" t="n"/>
    </row>
    <row r="9" ht="409.5" customHeight="1">
      <c r="A9" s="58" t="inlineStr">
        <is>
          <t>AI use does not increase maturity by itself. It increases maturity only when it improves evidence quality, decision coherence, traceability, calibration, or adaptation without obscuring authority or converting inference into fact. The model therefore moves from incidental AI use, to governed participation, to independent challenge, and finally to closed-loop learning.</t>
        </is>
      </c>
      <c r="B9" s="58" t="n"/>
      <c r="C9" s="58" t="n"/>
      <c r="I9" s="1" t="n"/>
      <c r="J9" s="1" t="n"/>
      <c r="K9" s="1" t="n"/>
      <c r="L9" s="1" t="n"/>
      <c r="M9" s="1" t="n"/>
      <c r="N9" s="1" t="n"/>
      <c r="O9" s="1" t="n"/>
      <c r="P9" s="1" t="n"/>
      <c r="Q9" s="1" t="n"/>
      <c r="R9" s="1" t="n"/>
      <c r="S9" s="1" t="n"/>
      <c r="T9" s="1" t="n"/>
      <c r="U9" s="1" t="n"/>
      <c r="V9" s="1" t="n"/>
      <c r="W9" s="1" t="n"/>
      <c r="X9" s="1" t="n"/>
      <c r="Y9" s="1" t="n"/>
      <c r="Z9" s="1" t="n"/>
    </row>
    <row r="10">
      <c r="A10" s="37" t="n"/>
      <c r="B10" s="37" t="n"/>
      <c r="C10" s="37" t="n"/>
      <c r="I10" s="1" t="n"/>
      <c r="J10" s="1" t="n"/>
      <c r="K10" s="1" t="n"/>
      <c r="L10" s="1" t="n"/>
      <c r="M10" s="1" t="n"/>
      <c r="N10" s="1" t="n"/>
      <c r="O10" s="1" t="n"/>
      <c r="P10" s="1" t="n"/>
      <c r="Q10" s="1" t="n"/>
      <c r="R10" s="1" t="n"/>
      <c r="S10" s="1" t="n"/>
      <c r="T10" s="1" t="n"/>
      <c r="U10" s="1" t="n"/>
      <c r="V10" s="1" t="n"/>
      <c r="W10" s="1" t="n"/>
      <c r="X10" s="1" t="n"/>
      <c r="Y10" s="1" t="n"/>
      <c r="Z10" s="1" t="n"/>
    </row>
    <row r="11">
      <c r="A11" s="37" t="n"/>
      <c r="B11" s="37" t="n"/>
      <c r="C11" s="37" t="n"/>
      <c r="I11" s="1" t="n"/>
      <c r="J11" s="1" t="n"/>
      <c r="K11" s="1" t="n"/>
      <c r="L11" s="1" t="n"/>
      <c r="M11" s="1" t="n"/>
      <c r="N11" s="1" t="n"/>
      <c r="O11" s="1" t="n"/>
      <c r="P11" s="1" t="n"/>
      <c r="Q11" s="1" t="n"/>
      <c r="R11" s="1" t="n"/>
      <c r="S11" s="1" t="n"/>
      <c r="T11" s="1" t="n"/>
      <c r="U11" s="1" t="n"/>
      <c r="V11" s="1" t="n"/>
      <c r="W11" s="1" t="n"/>
      <c r="X11" s="1" t="n"/>
      <c r="Y11" s="1" t="n"/>
      <c r="Z11" s="1" t="n"/>
    </row>
    <row r="12">
      <c r="A12" s="37" t="n"/>
      <c r="B12" s="37" t="n"/>
      <c r="C12" s="37" t="n"/>
      <c r="I12" s="1" t="n"/>
      <c r="J12" s="1" t="n"/>
      <c r="K12" s="1" t="n"/>
      <c r="L12" s="1" t="n"/>
      <c r="M12" s="1" t="n"/>
      <c r="N12" s="1" t="n"/>
      <c r="O12" s="1" t="n"/>
      <c r="P12" s="1" t="n"/>
      <c r="Q12" s="1" t="n"/>
      <c r="R12" s="1" t="n"/>
      <c r="S12" s="1" t="n"/>
      <c r="T12" s="1" t="n"/>
      <c r="U12" s="1" t="n"/>
      <c r="V12" s="1" t="n"/>
      <c r="W12" s="1" t="n"/>
      <c r="X12" s="1" t="n"/>
      <c r="Y12" s="1" t="n"/>
      <c r="Z12" s="1" t="n"/>
    </row>
    <row r="13">
      <c r="A13" s="51" t="n"/>
      <c r="I13" s="1" t="n"/>
      <c r="J13" s="1" t="n"/>
      <c r="K13" s="1" t="n"/>
      <c r="L13" s="1" t="n"/>
      <c r="M13" s="1" t="n"/>
      <c r="N13" s="1" t="n"/>
      <c r="O13" s="1" t="n"/>
      <c r="P13" s="1" t="n"/>
      <c r="Q13" s="1" t="n"/>
      <c r="R13" s="1" t="n"/>
      <c r="S13" s="1" t="n"/>
      <c r="T13" s="1" t="n"/>
      <c r="U13" s="1" t="n"/>
      <c r="V13" s="1" t="n"/>
      <c r="W13" s="1" t="n"/>
      <c r="X13" s="1" t="n"/>
      <c r="Y13" s="1" t="n"/>
      <c r="Z13" s="1" t="n"/>
    </row>
    <row r="14" ht="14.5" customHeight="1">
      <c r="A14" s="43" t="inlineStr">
        <is>
          <t>The three dimensions</t>
        </is>
      </c>
      <c r="I14" s="1" t="n"/>
      <c r="J14" s="1" t="n"/>
      <c r="K14" s="1" t="n"/>
      <c r="L14" s="1" t="n"/>
      <c r="M14" s="1" t="n"/>
      <c r="N14" s="1" t="n"/>
      <c r="O14" s="1" t="n"/>
      <c r="P14" s="1" t="n"/>
      <c r="Q14" s="1" t="n"/>
      <c r="R14" s="1" t="n"/>
      <c r="S14" s="1" t="n"/>
      <c r="T14" s="1" t="n"/>
      <c r="U14" s="1" t="n"/>
      <c r="V14" s="1" t="n"/>
      <c r="W14" s="1" t="n"/>
      <c r="X14" s="1" t="n"/>
      <c r="Y14" s="1" t="n"/>
      <c r="Z14" s="1" t="n"/>
    </row>
    <row r="15">
      <c r="A15" s="47" t="inlineStr">
        <is>
          <t>ID</t>
        </is>
      </c>
      <c r="B15" s="47" t="inlineStr">
        <is>
          <t>Dimension</t>
        </is>
      </c>
      <c r="C15" s="47" t="inlineStr">
        <is>
          <t>Core question</t>
        </is>
      </c>
      <c r="I15" s="1" t="n"/>
      <c r="J15" s="1" t="n"/>
      <c r="K15" s="1" t="n"/>
      <c r="L15" s="1" t="n"/>
      <c r="M15" s="1" t="n"/>
      <c r="N15" s="1" t="n"/>
      <c r="O15" s="1" t="n"/>
      <c r="P15" s="1" t="n"/>
      <c r="Q15" s="1" t="n"/>
      <c r="R15" s="1" t="n"/>
      <c r="S15" s="1" t="n"/>
      <c r="T15" s="1" t="n"/>
      <c r="U15" s="1" t="n"/>
      <c r="V15" s="1" t="n"/>
      <c r="W15" s="1" t="n"/>
      <c r="X15" s="1" t="n"/>
      <c r="Y15" s="1" t="n"/>
      <c r="Z15" s="1" t="n"/>
    </row>
    <row r="16">
      <c r="A16" s="54" t="inlineStr">
        <is>
          <t>D1</t>
        </is>
      </c>
      <c r="B16" s="54" t="inlineStr">
        <is>
          <t>Value Model Coherence</t>
        </is>
      </c>
      <c r="C16" s="54" t="inlineStr">
        <is>
          <t>Is product value explicit, multi-dimensional, defensible, and usable by governed human and AI participants?</t>
        </is>
      </c>
      <c r="I16" s="1" t="n"/>
      <c r="J16" s="1" t="n"/>
      <c r="K16" s="1" t="n"/>
      <c r="L16" s="1" t="n"/>
      <c r="M16" s="1" t="n"/>
      <c r="N16" s="1" t="n"/>
      <c r="O16" s="1" t="n"/>
      <c r="P16" s="1" t="n"/>
      <c r="Q16" s="1" t="n"/>
      <c r="R16" s="1" t="n"/>
      <c r="S16" s="1" t="n"/>
      <c r="T16" s="1" t="n"/>
      <c r="U16" s="1" t="n"/>
      <c r="V16" s="1" t="n"/>
      <c r="W16" s="1" t="n"/>
      <c r="X16" s="1" t="n"/>
      <c r="Y16" s="1" t="n"/>
      <c r="Z16" s="1" t="n"/>
    </row>
    <row r="17">
      <c r="A17" s="55" t="inlineStr">
        <is>
          <t>D2</t>
        </is>
      </c>
      <c r="B17" s="55" t="inlineStr">
        <is>
          <t>Decision Governance &amp; Portfolio Integration</t>
        </is>
      </c>
      <c r="C17" s="55" t="inlineStr">
        <is>
          <t>Do those value judgments govern real funding, capacity, sequencing, and trade-offs, with explicit human and AI authority?</t>
        </is>
      </c>
      <c r="I17" s="1" t="n"/>
      <c r="J17" s="1" t="n"/>
      <c r="K17" s="1" t="n"/>
      <c r="L17" s="1" t="n"/>
      <c r="M17" s="1" t="n"/>
      <c r="N17" s="1" t="n"/>
      <c r="O17" s="1" t="n"/>
      <c r="P17" s="1" t="n"/>
      <c r="Q17" s="1" t="n"/>
      <c r="R17" s="1" t="n"/>
      <c r="S17" s="1" t="n"/>
      <c r="T17" s="1" t="n"/>
      <c r="U17" s="1" t="n"/>
      <c r="V17" s="1" t="n"/>
      <c r="W17" s="1" t="n"/>
      <c r="X17" s="1" t="n"/>
      <c r="Y17" s="1" t="n"/>
      <c r="Z17" s="1" t="n"/>
    </row>
    <row r="18">
      <c r="A18" s="56" t="inlineStr">
        <is>
          <t>D3</t>
        </is>
      </c>
      <c r="B18" s="56" t="inlineStr">
        <is>
          <t>Outcome Calibration &amp; Adaptation</t>
        </is>
      </c>
      <c r="C18" s="56" t="inlineStr">
        <is>
          <t>Does realized evidence improve forecasts, the value model, portfolio decisions, and—when warranted—the originating intent?</t>
        </is>
      </c>
      <c r="I18" s="1" t="n"/>
      <c r="J18" s="1" t="n"/>
      <c r="K18" s="1" t="n"/>
      <c r="L18" s="1" t="n"/>
      <c r="M18" s="1" t="n"/>
      <c r="N18" s="1" t="n"/>
      <c r="O18" s="1" t="n"/>
      <c r="P18" s="1" t="n"/>
      <c r="Q18" s="1" t="n"/>
      <c r="R18" s="1" t="n"/>
      <c r="S18" s="1" t="n"/>
      <c r="T18" s="1" t="n"/>
      <c r="U18" s="1" t="n"/>
      <c r="V18" s="1" t="n"/>
      <c r="W18" s="1" t="n"/>
      <c r="X18" s="1" t="n"/>
      <c r="Y18" s="1" t="n"/>
      <c r="Z18" s="1" t="n"/>
    </row>
    <row r="19">
      <c r="A19" s="57" t="n"/>
      <c r="B19" s="57" t="n"/>
      <c r="C19" s="57" t="n"/>
      <c r="I19" s="1" t="n"/>
      <c r="J19" s="1" t="n"/>
      <c r="K19" s="1" t="n"/>
      <c r="L19" s="1" t="n"/>
      <c r="M19" s="1" t="n"/>
      <c r="N19" s="1" t="n"/>
      <c r="O19" s="1" t="n"/>
      <c r="P19" s="1" t="n"/>
      <c r="Q19" s="1" t="n"/>
      <c r="R19" s="1" t="n"/>
      <c r="S19" s="1" t="n"/>
      <c r="T19" s="1" t="n"/>
      <c r="U19" s="1" t="n"/>
      <c r="V19" s="1" t="n"/>
      <c r="W19" s="1" t="n"/>
      <c r="X19" s="1" t="n"/>
      <c r="Y19" s="1" t="n"/>
      <c r="Z19" s="1" t="n"/>
    </row>
    <row r="20" ht="43.5" customHeight="1">
      <c r="A20" s="43" t="inlineStr">
        <is>
          <t>The governing loop</t>
        </is>
      </c>
      <c r="B20" s="43" t="n"/>
      <c r="C20" s="43" t="n"/>
      <c r="I20" s="1" t="n"/>
      <c r="J20" s="1" t="n"/>
      <c r="K20" s="1" t="n"/>
      <c r="L20" s="1" t="n"/>
      <c r="M20" s="1" t="n"/>
      <c r="N20" s="1" t="n"/>
      <c r="O20" s="1" t="n"/>
      <c r="P20" s="1" t="n"/>
      <c r="Q20" s="1" t="n"/>
      <c r="R20" s="1" t="n"/>
      <c r="S20" s="1" t="n"/>
      <c r="T20" s="1" t="n"/>
      <c r="U20" s="1" t="n"/>
      <c r="V20" s="1" t="n"/>
      <c r="W20" s="1" t="n"/>
      <c r="X20" s="1" t="n"/>
      <c r="Y20" s="1" t="n"/>
      <c r="Z20" s="1" t="n"/>
    </row>
    <row r="21" ht="409.5" customHeight="1">
      <c r="A21" s="37" t="inlineStr">
        <is>
          <t>The governing loop: enterprise intent → D1 value model → D2 portfolio decision → execution and outcomes → D3 calibration → portfolio/model correction → reconsideration of enterprise intent when the evidence indicates possible intent failure. D3-E is the capstone: it distinguishes execution failure, forecasting error, model error, and possible intent failure, then routes each to its proper authority.</t>
        </is>
      </c>
      <c r="B21" s="37" t="n"/>
      <c r="C21" s="37" t="n"/>
      <c r="I21" s="1" t="n"/>
      <c r="J21" s="1" t="n"/>
      <c r="K21" s="1" t="n"/>
      <c r="L21" s="1" t="n"/>
      <c r="M21" s="1" t="n"/>
      <c r="N21" s="1" t="n"/>
      <c r="O21" s="1" t="n"/>
      <c r="P21" s="1" t="n"/>
      <c r="Q21" s="1" t="n"/>
      <c r="R21" s="1" t="n"/>
      <c r="S21" s="1" t="n"/>
      <c r="T21" s="1" t="n"/>
      <c r="U21" s="1" t="n"/>
      <c r="V21" s="1" t="n"/>
      <c r="W21" s="1" t="n"/>
      <c r="X21" s="1" t="n"/>
      <c r="Y21" s="1" t="n"/>
      <c r="Z21" s="1" t="n"/>
    </row>
    <row r="22">
      <c r="A22" s="52" t="n"/>
      <c r="I22" s="1" t="n"/>
      <c r="J22" s="1" t="n"/>
      <c r="K22" s="1" t="n"/>
      <c r="L22" s="1" t="n"/>
      <c r="M22" s="1" t="n"/>
      <c r="N22" s="1" t="n"/>
      <c r="O22" s="1" t="n"/>
      <c r="P22" s="1" t="n"/>
      <c r="Q22" s="1" t="n"/>
      <c r="R22" s="1" t="n"/>
      <c r="S22" s="1" t="n"/>
      <c r="T22" s="1" t="n"/>
      <c r="U22" s="1" t="n"/>
      <c r="V22" s="1" t="n"/>
      <c r="W22" s="1" t="n"/>
      <c r="X22" s="1" t="n"/>
      <c r="Y22" s="1" t="n"/>
      <c r="Z22" s="1" t="n"/>
    </row>
    <row r="23">
      <c r="A23" s="52" t="n"/>
      <c r="B23" s="37" t="n"/>
      <c r="I23" s="1" t="n"/>
      <c r="J23" s="1" t="n"/>
      <c r="K23" s="1" t="n"/>
      <c r="L23" s="1" t="n"/>
      <c r="M23" s="1" t="n"/>
      <c r="N23" s="1" t="n"/>
      <c r="O23" s="1" t="n"/>
      <c r="P23" s="1" t="n"/>
      <c r="Q23" s="1" t="n"/>
      <c r="R23" s="1" t="n"/>
      <c r="S23" s="1" t="n"/>
      <c r="T23" s="1" t="n"/>
      <c r="U23" s="1" t="n"/>
      <c r="V23" s="1" t="n"/>
      <c r="W23" s="1" t="n"/>
      <c r="X23" s="1" t="n"/>
      <c r="Y23" s="1" t="n"/>
      <c r="Z23" s="1" t="n"/>
    </row>
    <row r="24">
      <c r="A24" s="11" t="n"/>
      <c r="B24" s="53" t="n"/>
      <c r="I24" s="1" t="n"/>
      <c r="J24" s="1" t="n"/>
      <c r="K24" s="1" t="n"/>
      <c r="L24" s="1" t="n"/>
      <c r="M24" s="1" t="n"/>
      <c r="N24" s="1" t="n"/>
      <c r="O24" s="1" t="n"/>
      <c r="P24" s="1" t="n"/>
      <c r="Q24" s="1" t="n"/>
      <c r="R24" s="1" t="n"/>
      <c r="S24" s="1" t="n"/>
      <c r="T24" s="1" t="n"/>
      <c r="U24" s="1" t="n"/>
      <c r="V24" s="1" t="n"/>
      <c r="W24" s="1" t="n"/>
      <c r="X24" s="1" t="n"/>
      <c r="Y24" s="1" t="n"/>
      <c r="Z24" s="1" t="n"/>
    </row>
    <row r="25" ht="43.5" customHeight="1">
      <c r="A25" s="43" t="n"/>
      <c r="B25" s="43" t="n"/>
      <c r="I25" s="1" t="n"/>
      <c r="J25" s="1" t="n"/>
      <c r="K25" s="1" t="n"/>
      <c r="L25" s="1" t="n"/>
      <c r="M25" s="1" t="n"/>
      <c r="N25" s="1" t="n"/>
      <c r="O25" s="1" t="n"/>
      <c r="P25" s="1" t="n"/>
      <c r="Q25" s="1" t="n"/>
      <c r="R25" s="1" t="n"/>
      <c r="S25" s="1" t="n"/>
      <c r="T25" s="1" t="n"/>
      <c r="U25" s="1" t="n"/>
      <c r="V25" s="1" t="n"/>
      <c r="W25" s="1" t="n"/>
      <c r="X25" s="1" t="n"/>
      <c r="Y25" s="1" t="n"/>
      <c r="Z25" s="1" t="n"/>
    </row>
    <row r="26">
      <c r="A26" s="47" t="n"/>
      <c r="B26" s="47" t="n"/>
      <c r="I26" s="1" t="n"/>
      <c r="J26" s="1" t="n"/>
      <c r="K26" s="1" t="n"/>
      <c r="L26" s="1" t="n"/>
      <c r="M26" s="1" t="n"/>
      <c r="N26" s="1" t="n"/>
      <c r="O26" s="1" t="n"/>
      <c r="P26" s="1" t="n"/>
      <c r="Q26" s="1" t="n"/>
      <c r="R26" s="1" t="n"/>
      <c r="S26" s="1" t="n"/>
      <c r="T26" s="1" t="n"/>
      <c r="U26" s="1" t="n"/>
      <c r="V26" s="1" t="n"/>
      <c r="W26" s="1" t="n"/>
      <c r="X26" s="1" t="n"/>
      <c r="Y26" s="1" t="n"/>
      <c r="Z26" s="1" t="n"/>
    </row>
    <row r="27">
      <c r="A27" s="28" t="n"/>
      <c r="B27" s="48" t="n"/>
      <c r="I27" s="1" t="n"/>
      <c r="J27" s="1" t="n"/>
      <c r="K27" s="1" t="n"/>
      <c r="L27" s="1" t="n"/>
      <c r="M27" s="1" t="n"/>
      <c r="N27" s="1" t="n"/>
      <c r="O27" s="1" t="n"/>
      <c r="P27" s="1" t="n"/>
      <c r="Q27" s="1" t="n"/>
      <c r="R27" s="1" t="n"/>
      <c r="S27" s="1" t="n"/>
      <c r="T27" s="1" t="n"/>
      <c r="U27" s="1" t="n"/>
      <c r="V27" s="1" t="n"/>
      <c r="W27" s="1" t="n"/>
      <c r="X27" s="1" t="n"/>
      <c r="Y27" s="1" t="n"/>
      <c r="Z27" s="1" t="n"/>
    </row>
    <row r="28">
      <c r="A28" s="45" t="n"/>
      <c r="B28" s="45" t="n"/>
      <c r="C28" s="45" t="n"/>
      <c r="I28" s="1" t="n"/>
      <c r="J28" s="1" t="n"/>
      <c r="K28" s="1" t="n"/>
      <c r="L28" s="1" t="n"/>
      <c r="M28" s="1" t="n"/>
      <c r="N28" s="1" t="n"/>
      <c r="O28" s="1" t="n"/>
      <c r="P28" s="1" t="n"/>
      <c r="Q28" s="1" t="n"/>
      <c r="R28" s="1" t="n"/>
      <c r="S28" s="1" t="n"/>
      <c r="T28" s="1" t="n"/>
      <c r="U28" s="1" t="n"/>
      <c r="V28" s="1" t="n"/>
      <c r="W28" s="1" t="n"/>
      <c r="X28" s="1" t="n"/>
      <c r="Y28" s="1" t="n"/>
      <c r="Z28" s="1" t="n"/>
    </row>
    <row r="29">
      <c r="A29" s="49" t="n"/>
      <c r="I29" s="1" t="n"/>
      <c r="J29" s="1" t="n"/>
      <c r="K29" s="1" t="n"/>
      <c r="L29" s="1" t="n"/>
      <c r="M29" s="1" t="n"/>
      <c r="N29" s="1" t="n"/>
      <c r="O29" s="1" t="n"/>
      <c r="P29" s="1" t="n"/>
      <c r="Q29" s="1" t="n"/>
      <c r="R29" s="1" t="n"/>
      <c r="S29" s="1" t="n"/>
      <c r="T29" s="1" t="n"/>
      <c r="U29" s="1" t="n"/>
      <c r="V29" s="1" t="n"/>
      <c r="W29" s="1" t="n"/>
      <c r="X29" s="1" t="n"/>
      <c r="Y29" s="1" t="n"/>
      <c r="Z29" s="1" t="n"/>
    </row>
    <row r="30">
      <c r="I30" s="1" t="n"/>
      <c r="J30" s="1" t="n"/>
      <c r="K30" s="1" t="n"/>
      <c r="L30" s="1" t="n"/>
      <c r="M30" s="1" t="n"/>
      <c r="N30" s="1" t="n"/>
      <c r="O30" s="1" t="n"/>
      <c r="P30" s="1" t="n"/>
      <c r="Q30" s="1" t="n"/>
      <c r="R30" s="1" t="n"/>
      <c r="S30" s="1" t="n"/>
      <c r="T30" s="1" t="n"/>
      <c r="U30" s="1" t="n"/>
      <c r="V30" s="1" t="n"/>
      <c r="W30" s="1" t="n"/>
      <c r="X30" s="1" t="n"/>
      <c r="Y30" s="1" t="n"/>
      <c r="Z30" s="1" t="n"/>
    </row>
    <row r="31">
      <c r="A31" s="46" t="n"/>
      <c r="I31" s="1" t="n"/>
      <c r="J31" s="1" t="n"/>
      <c r="K31" s="1" t="n"/>
      <c r="L31" s="1" t="n"/>
      <c r="M31" s="1" t="n"/>
      <c r="N31" s="1" t="n"/>
      <c r="O31" s="1" t="n"/>
      <c r="P31" s="1" t="n"/>
      <c r="Q31" s="1" t="n"/>
      <c r="R31" s="1" t="n"/>
      <c r="S31" s="1" t="n"/>
      <c r="T31" s="1" t="n"/>
      <c r="U31" s="1" t="n"/>
      <c r="V31" s="1" t="n"/>
      <c r="W31" s="1" t="n"/>
      <c r="X31" s="1" t="n"/>
      <c r="Y31" s="1" t="n"/>
      <c r="Z31" s="1" t="n"/>
    </row>
    <row r="32">
      <c r="A32" s="12" t="n"/>
      <c r="B32" s="44" t="n"/>
      <c r="I32" s="1" t="n"/>
      <c r="J32" s="1" t="n"/>
      <c r="K32" s="1" t="n"/>
      <c r="L32" s="1" t="n"/>
      <c r="M32" s="1" t="n"/>
      <c r="N32" s="1" t="n"/>
      <c r="O32" s="1" t="n"/>
      <c r="P32" s="1" t="n"/>
      <c r="Q32" s="1" t="n"/>
      <c r="R32" s="1" t="n"/>
      <c r="S32" s="1" t="n"/>
      <c r="T32" s="1" t="n"/>
      <c r="U32" s="1" t="n"/>
      <c r="V32" s="1" t="n"/>
      <c r="W32" s="1" t="n"/>
      <c r="X32" s="1" t="n"/>
      <c r="Y32" s="1" t="n"/>
      <c r="Z32" s="1" t="n"/>
    </row>
    <row r="33" ht="409.5" customHeight="1">
      <c r="A33" s="31" t="inlineStr">
        <is>
          <t>The 2015 Strategic Value Matrix -- authored by David, predating this model by over a decade -- is the reference pattern for Level E Value Model Coherence: explicit multi-factor value logic, visible weights, and explainable trade-offs. Overall Level E still requires comparable maturity in decision governance and closed-loop intent calibration.</t>
        </is>
      </c>
      <c r="B33" s="37" t="n"/>
      <c r="I33" s="1" t="n"/>
      <c r="J33" s="1" t="n"/>
      <c r="K33" s="1" t="n"/>
      <c r="L33" s="1" t="n"/>
      <c r="M33" s="1" t="n"/>
      <c r="N33" s="1" t="n"/>
      <c r="O33" s="1" t="n"/>
      <c r="P33" s="1" t="n"/>
      <c r="Q33" s="1" t="n"/>
      <c r="R33" s="1" t="n"/>
      <c r="S33" s="1" t="n"/>
      <c r="T33" s="1" t="n"/>
      <c r="U33" s="1" t="n"/>
      <c r="V33" s="1" t="n"/>
      <c r="W33" s="1" t="n"/>
      <c r="X33" s="1" t="n"/>
      <c r="Y33" s="1" t="n"/>
      <c r="Z33" s="1" t="n"/>
    </row>
    <row r="34">
      <c r="A34" s="31" t="n"/>
      <c r="B34" s="37" t="n"/>
      <c r="I34" s="1" t="n"/>
      <c r="J34" s="1" t="n"/>
      <c r="K34" s="1" t="n"/>
      <c r="L34" s="1" t="n"/>
      <c r="M34" s="1" t="n"/>
      <c r="N34" s="1" t="n"/>
      <c r="O34" s="1" t="n"/>
      <c r="P34" s="1" t="n"/>
      <c r="Q34" s="1" t="n"/>
      <c r="R34" s="1" t="n"/>
      <c r="S34" s="1" t="n"/>
      <c r="T34" s="1" t="n"/>
      <c r="U34" s="1" t="n"/>
      <c r="V34" s="1" t="n"/>
      <c r="W34" s="1" t="n"/>
      <c r="X34" s="1" t="n"/>
      <c r="Y34" s="1" t="n"/>
      <c r="Z34" s="1" t="n"/>
    </row>
    <row r="35">
      <c r="A35" s="31" t="n"/>
      <c r="B35" s="37" t="n"/>
      <c r="I35" s="1" t="n"/>
      <c r="J35" s="1" t="n"/>
      <c r="K35" s="1" t="n"/>
      <c r="L35" s="1" t="n"/>
      <c r="M35" s="1" t="n"/>
      <c r="N35" s="1" t="n"/>
      <c r="O35" s="1" t="n"/>
      <c r="P35" s="1" t="n"/>
      <c r="Q35" s="1" t="n"/>
      <c r="R35" s="1" t="n"/>
      <c r="S35" s="1" t="n"/>
      <c r="T35" s="1" t="n"/>
      <c r="U35" s="1" t="n"/>
      <c r="V35" s="1" t="n"/>
      <c r="W35" s="1" t="n"/>
      <c r="X35" s="1" t="n"/>
      <c r="Y35" s="1" t="n"/>
      <c r="Z35" s="1" t="n"/>
    </row>
    <row r="36">
      <c r="A36" s="12" t="n"/>
      <c r="B36" s="44" t="n"/>
      <c r="I36" s="1" t="n"/>
      <c r="J36" s="1" t="n"/>
      <c r="K36" s="1" t="n"/>
      <c r="L36" s="1" t="n"/>
      <c r="M36" s="1" t="n"/>
      <c r="N36" s="1" t="n"/>
      <c r="O36" s="1" t="n"/>
      <c r="P36" s="1" t="n"/>
      <c r="Q36" s="1" t="n"/>
      <c r="R36" s="1" t="n"/>
      <c r="S36" s="1" t="n"/>
      <c r="T36" s="1" t="n"/>
      <c r="U36" s="1" t="n"/>
      <c r="V36" s="1" t="n"/>
      <c r="W36" s="1" t="n"/>
      <c r="X36" s="1" t="n"/>
      <c r="Y36" s="1" t="n"/>
      <c r="Z36" s="1" t="n"/>
    </row>
    <row r="37" ht="14.5" customHeight="1">
      <c r="A37" s="38" t="inlineStr">
        <is>
          <t>How to use this workbook</t>
        </is>
      </c>
      <c r="I37" s="1" t="n"/>
      <c r="J37" s="1" t="n"/>
      <c r="K37" s="1" t="n"/>
      <c r="L37" s="1" t="n"/>
      <c r="M37" s="1" t="n"/>
      <c r="N37" s="1" t="n"/>
      <c r="O37" s="1" t="n"/>
      <c r="P37" s="1" t="n"/>
      <c r="Q37" s="1" t="n"/>
      <c r="R37" s="1" t="n"/>
      <c r="S37" s="1" t="n"/>
      <c r="T37" s="1" t="n"/>
      <c r="U37" s="1" t="n"/>
      <c r="V37" s="1" t="n"/>
      <c r="W37" s="1" t="n"/>
      <c r="X37" s="1" t="n"/>
      <c r="Y37" s="1" t="n"/>
      <c r="Z37" s="1" t="n"/>
    </row>
    <row r="38">
      <c r="A38" s="32" t="inlineStr">
        <is>
          <t>1</t>
        </is>
      </c>
      <c r="B38" s="44" t="inlineStr">
        <is>
          <t>Read each dimension's full A–E ladder on the Maturity Matrix sheet.</t>
        </is>
      </c>
      <c r="I38" s="1" t="n"/>
      <c r="J38" s="1" t="n"/>
      <c r="K38" s="1" t="n"/>
      <c r="L38" s="1" t="n"/>
      <c r="M38" s="1" t="n"/>
      <c r="N38" s="1" t="n"/>
      <c r="O38" s="1" t="n"/>
      <c r="P38" s="1" t="n"/>
      <c r="Q38" s="1" t="n"/>
      <c r="R38" s="1" t="n"/>
      <c r="S38" s="1" t="n"/>
      <c r="T38" s="1" t="n"/>
      <c r="U38" s="1" t="n"/>
      <c r="V38" s="1" t="n"/>
      <c r="W38" s="1" t="n"/>
      <c r="X38" s="1" t="n"/>
      <c r="Y38" s="1" t="n"/>
      <c r="Z38" s="1" t="n"/>
    </row>
    <row r="39">
      <c r="A39" s="32" t="inlineStr">
        <is>
          <t>2</t>
        </is>
      </c>
      <c r="B39" s="44" t="inlineStr">
        <is>
          <t>Score the normal operating capability—not the best team, workshop, artifact, or AI demonstration.</t>
        </is>
      </c>
      <c r="I39" s="1" t="n"/>
      <c r="J39" s="1" t="n"/>
      <c r="K39" s="1" t="n"/>
      <c r="L39" s="1" t="n"/>
      <c r="M39" s="1" t="n"/>
      <c r="N39" s="1" t="n"/>
      <c r="O39" s="1" t="n"/>
      <c r="P39" s="1" t="n"/>
      <c r="Q39" s="1" t="n"/>
      <c r="R39" s="1" t="n"/>
      <c r="S39" s="1" t="n"/>
      <c r="T39" s="1" t="n"/>
      <c r="U39" s="1" t="n"/>
      <c r="V39" s="1" t="n"/>
      <c r="W39" s="1" t="n"/>
      <c r="X39" s="1" t="n"/>
      <c r="Y39" s="1" t="n"/>
      <c r="Z39" s="1" t="n"/>
    </row>
    <row r="40">
      <c r="A40" s="32" t="inlineStr">
        <is>
          <t>3</t>
        </is>
      </c>
      <c r="B40" s="44" t="inlineStr">
        <is>
          <t>Record evidence for the current grade on the Assessment sheet.</t>
        </is>
      </c>
      <c r="I40" s="1" t="n"/>
      <c r="J40" s="1" t="n"/>
      <c r="K40" s="1" t="n"/>
      <c r="L40" s="1" t="n"/>
      <c r="M40" s="1" t="n"/>
      <c r="N40" s="1" t="n"/>
      <c r="O40" s="1" t="n"/>
      <c r="P40" s="1" t="n"/>
      <c r="Q40" s="1" t="n"/>
      <c r="R40" s="1" t="n"/>
      <c r="S40" s="1" t="n"/>
      <c r="T40" s="1" t="n"/>
      <c r="U40" s="1" t="n"/>
      <c r="V40" s="1" t="n"/>
      <c r="W40" s="1" t="n"/>
      <c r="X40" s="1" t="n"/>
      <c r="Y40" s="1" t="n"/>
      <c r="Z40" s="1" t="n"/>
    </row>
    <row r="41">
      <c r="A41" s="32" t="inlineStr">
        <is>
          <t>4</t>
        </is>
      </c>
      <c r="B41" s="44" t="inlineStr">
        <is>
          <t>Treat the three-grade profile as authoritative; the overall grade is only a directional summary.</t>
        </is>
      </c>
      <c r="I41" s="1" t="n"/>
      <c r="J41" s="1" t="n"/>
      <c r="K41" s="1" t="n"/>
      <c r="L41" s="1" t="n"/>
      <c r="M41" s="1" t="n"/>
      <c r="N41" s="1" t="n"/>
      <c r="O41" s="1" t="n"/>
      <c r="P41" s="1" t="n"/>
      <c r="Q41" s="1" t="n"/>
      <c r="R41" s="1" t="n"/>
      <c r="S41" s="1" t="n"/>
      <c r="T41" s="1" t="n"/>
      <c r="U41" s="1" t="n"/>
      <c r="V41" s="1" t="n"/>
      <c r="W41" s="1" t="n"/>
      <c r="X41" s="1" t="n"/>
      <c r="Y41" s="1" t="n"/>
      <c r="Z41" s="1" t="n"/>
    </row>
    <row r="42">
      <c r="A42" s="32" t="inlineStr">
        <is>
          <t>5</t>
        </is>
      </c>
      <c r="B42" s="44" t="inlineStr">
        <is>
          <t>Prefer proximate improvement: use the current level's transition statement as the next design target.</t>
        </is>
      </c>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sheetData>
  <mergeCells count="38">
    <mergeCell ref="C10:H10"/>
    <mergeCell ref="C16:H16"/>
    <mergeCell ref="B40:H40"/>
    <mergeCell ref="C9:H9"/>
    <mergeCell ref="B24:H24"/>
    <mergeCell ref="B33:H33"/>
    <mergeCell ref="A1:H1"/>
    <mergeCell ref="C12:H12"/>
    <mergeCell ref="A5:H6"/>
    <mergeCell ref="C21:H21"/>
    <mergeCell ref="C11:H11"/>
    <mergeCell ref="B36:H36"/>
    <mergeCell ref="B32:H32"/>
    <mergeCell ref="B26:H26"/>
    <mergeCell ref="B41:H41"/>
    <mergeCell ref="A29:H30"/>
    <mergeCell ref="B35:H35"/>
    <mergeCell ref="C17:H17"/>
    <mergeCell ref="B25:H25"/>
    <mergeCell ref="A37:H37"/>
    <mergeCell ref="C19:H19"/>
    <mergeCell ref="B27:H27"/>
    <mergeCell ref="C28:H28"/>
    <mergeCell ref="A2:H2"/>
    <mergeCell ref="B39:H39"/>
    <mergeCell ref="A14:H14"/>
    <mergeCell ref="C18:H18"/>
    <mergeCell ref="B42:H42"/>
    <mergeCell ref="A8:H8"/>
    <mergeCell ref="A22:H22"/>
    <mergeCell ref="B23:H23"/>
    <mergeCell ref="C15:H15"/>
    <mergeCell ref="A4:H4"/>
    <mergeCell ref="A31:H31"/>
    <mergeCell ref="B38:H38"/>
    <mergeCell ref="A13:H13"/>
    <mergeCell ref="C20:H20"/>
    <mergeCell ref="B34:H3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50"/>
  <sheetViews>
    <sheetView tabSelected="1" workbookViewId="0">
      <selection activeCell="C29" sqref="C29"/>
    </sheetView>
  </sheetViews>
  <sheetFormatPr baseColWidth="8" defaultRowHeight="14"/>
  <cols>
    <col width="9" customWidth="1" min="1" max="1"/>
    <col width="26" customWidth="1" min="2" max="2"/>
    <col width="72" customWidth="1" min="3" max="3"/>
    <col width="45" customWidth="1" min="4" max="4"/>
    <col width="49" customWidth="1" min="5" max="5"/>
    <col width="38" customWidth="1" min="6" max="6"/>
    <col width="42" customWidth="1" min="7" max="7"/>
  </cols>
  <sheetData>
    <row r="1" ht="20" customHeight="1">
      <c r="A1" s="39" t="inlineStr">
        <is>
          <t>AI-Native Product Prioritization Maturity Model</t>
        </is>
      </c>
      <c r="H1" s="1" t="n"/>
      <c r="I1" s="1" t="n"/>
      <c r="J1" s="1" t="n"/>
      <c r="K1" s="1" t="n"/>
      <c r="L1" s="1" t="n"/>
      <c r="M1" s="1" t="n"/>
      <c r="N1" s="1" t="n"/>
      <c r="O1" s="1" t="n"/>
      <c r="P1" s="1" t="n"/>
      <c r="Q1" s="1" t="n"/>
      <c r="R1" s="1" t="n"/>
      <c r="S1" s="1" t="n"/>
      <c r="T1" s="1" t="n"/>
      <c r="U1" s="1" t="n"/>
      <c r="V1" s="1" t="n"/>
      <c r="W1" s="1" t="n"/>
      <c r="X1" s="1" t="n"/>
      <c r="Y1" s="1" t="n"/>
      <c r="Z1" s="1" t="n"/>
    </row>
    <row r="2">
      <c r="A2" s="41" t="inlineStr">
        <is>
          <t>Dimension-specific A–E ladders · A is lowest maturity; E is highest maturity</t>
        </is>
      </c>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5" customHeight="1">
      <c r="A4" s="43" t="inlineStr">
        <is>
          <t>D1. Value Model Coherence</t>
        </is>
      </c>
      <c r="F4" s="3" t="n"/>
      <c r="G4" s="3" t="n"/>
      <c r="H4" s="1" t="n"/>
      <c r="I4" s="1" t="n"/>
      <c r="J4" s="1" t="n"/>
      <c r="K4" s="1" t="n"/>
      <c r="L4" s="1" t="n"/>
      <c r="M4" s="1" t="n"/>
      <c r="N4" s="1" t="n"/>
      <c r="O4" s="1" t="n"/>
      <c r="P4" s="1" t="n"/>
      <c r="Q4" s="1" t="n"/>
      <c r="R4" s="1" t="n"/>
      <c r="S4" s="1" t="n"/>
      <c r="T4" s="1" t="n"/>
      <c r="U4" s="1" t="n"/>
      <c r="V4" s="1" t="n"/>
      <c r="W4" s="1" t="n"/>
      <c r="X4" s="1" t="n"/>
      <c r="Y4" s="1" t="n"/>
      <c r="Z4" s="1" t="n"/>
    </row>
    <row r="5" ht="33.4" customHeight="1">
      <c r="A5" s="37" t="inlineStr">
        <is>
          <t>The capability to define and maintain an explicit model of product value that makes unlike drivers comparable without collapsing them—including strategic, customer, market, economic, architectural, delivery, risk, and debt considerations. AI becomes relevant only when it can use, challenge, or help improve that governed model.</t>
        </is>
      </c>
      <c r="F5" s="44" t="n"/>
      <c r="G5" s="44" t="n"/>
      <c r="H5" s="1" t="n"/>
      <c r="I5" s="1" t="n"/>
      <c r="J5" s="1" t="n"/>
      <c r="K5" s="1" t="n"/>
      <c r="L5" s="1" t="n"/>
      <c r="M5" s="1" t="n"/>
      <c r="N5" s="1" t="n"/>
      <c r="O5" s="1" t="n"/>
      <c r="P5" s="1" t="n"/>
      <c r="Q5" s="1" t="n"/>
      <c r="R5" s="1" t="n"/>
      <c r="S5" s="1" t="n"/>
      <c r="T5" s="1" t="n"/>
      <c r="U5" s="1" t="n"/>
      <c r="V5" s="1" t="n"/>
      <c r="W5" s="1" t="n"/>
      <c r="X5" s="1" t="n"/>
      <c r="Y5" s="1" t="n"/>
      <c r="Z5" s="1" t="n"/>
    </row>
    <row r="6">
      <c r="A6" s="47" t="inlineStr">
        <is>
          <t>Level</t>
        </is>
      </c>
      <c r="B6" s="47" t="inlineStr">
        <is>
          <t>Dimension-specific state</t>
        </is>
      </c>
      <c r="C6" s="47" t="inlineStr">
        <is>
          <t>Maturity definition</t>
        </is>
      </c>
      <c r="D6" s="47" t="inlineStr">
        <is>
          <t>Indicative evidence</t>
        </is>
      </c>
      <c r="E6" s="47" t="inlineStr">
        <is>
          <t>Transition to next level</t>
        </is>
      </c>
      <c r="F6" s="44" t="n"/>
      <c r="G6" s="44" t="n"/>
      <c r="H6" s="1" t="n"/>
      <c r="I6" s="1" t="n"/>
      <c r="J6" s="1" t="n"/>
      <c r="K6" s="1" t="n"/>
      <c r="L6" s="1" t="n"/>
      <c r="M6" s="1" t="n"/>
      <c r="N6" s="1" t="n"/>
      <c r="O6" s="1" t="n"/>
      <c r="P6" s="1" t="n"/>
      <c r="Q6" s="1" t="n"/>
      <c r="R6" s="1" t="n"/>
      <c r="S6" s="1" t="n"/>
      <c r="T6" s="1" t="n"/>
      <c r="U6" s="1" t="n"/>
      <c r="V6" s="1" t="n"/>
      <c r="W6" s="1" t="n"/>
      <c r="X6" s="1" t="n"/>
      <c r="Y6" s="1" t="n"/>
      <c r="Z6" s="1" t="n"/>
    </row>
    <row r="7" ht="68" customHeight="1">
      <c r="A7" s="16" t="inlineStr">
        <is>
          <t>A</t>
        </is>
      </c>
      <c r="B7" s="17" t="inlineStr">
        <is>
          <t>Nascent</t>
        </is>
      </c>
      <c r="C7" s="56" t="inlineStr">
        <is>
          <t>Priority is determined mainly by advocacy, urgency, executive request, anecdote, or estimated effort. Individuals may use AI privately to draft business cases or make a preferred item sound more compelling, but there is no stable value model against which the output can be tested.</t>
        </is>
      </c>
      <c r="D7" s="56" t="inlineStr">
        <is>
          <t>Roadmaps built from requests; inconsistent rationale; private AI-generated business cases; value and effort discussed as one undifferentiated judgment.</t>
        </is>
      </c>
      <c r="E7" s="44" t="inlineStr">
        <is>
          <t>Name a small common set of criteria, separate value from implementation difficulty, and require the same logic for every candidate.</t>
        </is>
      </c>
      <c r="F7" s="44" t="n"/>
      <c r="G7" s="44" t="n"/>
      <c r="H7" s="1" t="n"/>
      <c r="I7" s="1" t="n"/>
      <c r="J7" s="1" t="n"/>
      <c r="K7" s="1" t="n"/>
      <c r="L7" s="1" t="n"/>
      <c r="M7" s="1" t="n"/>
      <c r="N7" s="1" t="n"/>
      <c r="O7" s="1" t="n"/>
      <c r="P7" s="1" t="n"/>
      <c r="Q7" s="1" t="n"/>
      <c r="R7" s="1" t="n"/>
      <c r="S7" s="1" t="n"/>
      <c r="T7" s="1" t="n"/>
      <c r="U7" s="1" t="n"/>
      <c r="V7" s="1" t="n"/>
      <c r="W7" s="1" t="n"/>
      <c r="X7" s="1" t="n"/>
      <c r="Y7" s="1" t="n"/>
      <c r="Z7" s="1" t="n"/>
    </row>
    <row r="8" ht="68" customHeight="1">
      <c r="A8" s="18" t="inlineStr">
        <is>
          <t>B</t>
        </is>
      </c>
      <c r="B8" s="19" t="inlineStr">
        <is>
          <t>Modeled</t>
        </is>
      </c>
      <c r="C8" s="53" t="inlineStr">
        <is>
          <t>A common prioritization method is used—such as value-versus-effort, RICE, MoSCoW, or a simple weighted score. AI may summarize proposals, normalize submissions, or collect preliminary evidence, but criteria remain generic, scoring anchors are weak, and humans manually translate AI output into the model.</t>
        </is>
      </c>
      <c r="D8" s="53" t="inlineStr">
        <is>
          <t>Reusable scorecard; simple ranking; AI-assisted proposal summaries; shared criteria with limited definitions; workshop-dependent interpretation.</t>
        </is>
      </c>
      <c r="E8" s="44" t="inlineStr">
        <is>
          <t>Define dimension-specific criteria and scoring anchors, state the evidence expected for material scores, and preserve source provenance.</t>
        </is>
      </c>
      <c r="F8" s="44" t="n"/>
      <c r="G8" s="44" t="n"/>
      <c r="H8" s="1" t="n"/>
      <c r="I8" s="1" t="n"/>
      <c r="J8" s="1" t="n"/>
      <c r="K8" s="1" t="n"/>
      <c r="L8" s="1" t="n"/>
      <c r="M8" s="1" t="n"/>
      <c r="N8" s="1" t="n"/>
      <c r="O8" s="1" t="n"/>
      <c r="P8" s="1" t="n"/>
      <c r="Q8" s="1" t="n"/>
      <c r="R8" s="1" t="n"/>
      <c r="S8" s="1" t="n"/>
      <c r="T8" s="1" t="n"/>
      <c r="U8" s="1" t="n"/>
      <c r="V8" s="1" t="n"/>
      <c r="W8" s="1" t="n"/>
      <c r="X8" s="1" t="n"/>
      <c r="Y8" s="1" t="n"/>
      <c r="Z8" s="1" t="n"/>
    </row>
    <row r="9" ht="68" customHeight="1">
      <c r="A9" s="20" t="inlineStr">
        <is>
          <t>C</t>
        </is>
      </c>
      <c r="B9" s="21" t="inlineStr">
        <is>
          <t>Continuous</t>
        </is>
      </c>
      <c r="C9" s="8" t="inlineStr">
        <is>
          <t>The organization uses a shared product-value model with distinct scoring dimensions, defined scales, and explicit separation of business value from implementation difficulty. The model is structured enough that AI can map proposals to criteria, assemble cited evidence, identify missing inputs, and flag inconsistent scoring. Humans retain responsibility for weights and final value judgment.</t>
        </is>
      </c>
      <c r="D9" s="8" t="inlineStr">
        <is>
          <t>Defined scales and weights; separate business-value and implementation factors; machine-readable scoring structure; cited evidence; AI-flagged gaps or inconsistencies.</t>
        </is>
      </c>
      <c r="E9" s="44" t="inlineStr">
        <is>
          <t>Assign formal ownership, version the model, test criteria for overlap or double-counting, and make assumptions, confidence, and exceptions visible.</t>
        </is>
      </c>
      <c r="F9" s="44" t="n"/>
      <c r="G9" s="44" t="n"/>
      <c r="H9" s="1" t="n"/>
      <c r="I9" s="1" t="n"/>
      <c r="J9" s="1" t="n"/>
      <c r="K9" s="1" t="n"/>
      <c r="L9" s="1" t="n"/>
      <c r="M9" s="1" t="n"/>
      <c r="N9" s="1" t="n"/>
      <c r="O9" s="1" t="n"/>
      <c r="P9" s="1" t="n"/>
      <c r="Q9" s="1" t="n"/>
      <c r="R9" s="1" t="n"/>
      <c r="S9" s="1" t="n"/>
      <c r="T9" s="1" t="n"/>
      <c r="U9" s="1" t="n"/>
      <c r="V9" s="1" t="n"/>
      <c r="W9" s="1" t="n"/>
      <c r="X9" s="1" t="n"/>
      <c r="Y9" s="1" t="n"/>
      <c r="Z9" s="1" t="n"/>
    </row>
    <row r="10" ht="68" customHeight="1">
      <c r="A10" s="22" t="inlineStr">
        <is>
          <t>D</t>
        </is>
      </c>
      <c r="B10" s="23" t="inlineStr">
        <is>
          <t>Integral</t>
        </is>
      </c>
      <c r="C10" s="54" t="inlineStr">
        <is>
          <t>The value model is formally owned, versioned, and tied to current strategy and portfolio context. AI performs scenario and sensitivity analysis, challenges unsupported assumptions, detects likely double-counting or scoring drift, and explains why rankings change. The model, weights, evidence standards, and decision authority remain human-governed.</t>
        </is>
      </c>
      <c r="D10" s="54" t="inlineStr">
        <is>
          <t>Model owner; version history; criterion provenance; AI-supported sensitivity analysis; confidence notes; scoring-drift review; documented exceptions.</t>
        </is>
      </c>
      <c r="E10" s="44" t="inlineStr">
        <is>
          <t>Connect the value model to realized outcomes so evidence can recalibrate scoring anchors, weights, and strategic assumptions.</t>
        </is>
      </c>
      <c r="F10" s="44" t="n"/>
      <c r="G10" s="44" t="n"/>
      <c r="H10" s="1" t="n"/>
      <c r="I10" s="1" t="n"/>
      <c r="J10" s="1" t="n"/>
      <c r="K10" s="1" t="n"/>
      <c r="L10" s="1" t="n"/>
      <c r="M10" s="1" t="n"/>
      <c r="N10" s="1" t="n"/>
      <c r="O10" s="1" t="n"/>
      <c r="P10" s="1" t="n"/>
      <c r="Q10" s="1" t="n"/>
      <c r="R10" s="1" t="n"/>
      <c r="S10" s="1" t="n"/>
      <c r="T10" s="1" t="n"/>
      <c r="U10" s="1" t="n"/>
      <c r="V10" s="1" t="n"/>
      <c r="W10" s="1" t="n"/>
      <c r="X10" s="1" t="n"/>
      <c r="Y10" s="1" t="n"/>
      <c r="Z10" s="1" t="n"/>
    </row>
    <row r="11" ht="68" customHeight="1">
      <c r="A11" s="24" t="inlineStr">
        <is>
          <t>E</t>
        </is>
      </c>
      <c r="B11" s="25" t="inlineStr">
        <is>
          <t>Telemetric</t>
        </is>
      </c>
      <c r="C11" s="55" t="inlineStr">
        <is>
          <t>A multi-factor strategic value system—of the kind represented by the Strategic Value Matrix—balances revenue magnitude and velocity, strategic alignment, market and customer fit, architecture, implementation size, technical-debt reduction, and delivery risk through explicit scales and weights. AI continuously refreshes relevant evidence, detects model or strategy drift, and proposes changes to criteria, anchors, or weights. Every change remains explainable, versioned, and human-authorized, and the organization can reconstruct why one item outranked another at any point in time.</t>
        </is>
      </c>
      <c r="D11" s="55" t="inlineStr">
        <is>
          <t>Governed strategic value matrix; transparent positive and negative drivers; continuously refreshed evidence; explainable scenarios; model-drift detection; preserved decision history.</t>
        </is>
      </c>
      <c r="E11" s="44" t="inlineStr">
        <is>
          <t>Sustain empirical and strategic integrity: verify that evidence refresh improves the model without allowing automation, recency, or persuasive inference to redefine value silently.</t>
        </is>
      </c>
      <c r="F11" s="44" t="n"/>
      <c r="G11" s="44" t="n"/>
      <c r="H11" s="1" t="n"/>
      <c r="I11" s="1" t="n"/>
      <c r="J11" s="1" t="n"/>
      <c r="K11" s="1" t="n"/>
      <c r="L11" s="1" t="n"/>
      <c r="M11" s="1" t="n"/>
      <c r="N11" s="1" t="n"/>
      <c r="O11" s="1" t="n"/>
      <c r="P11" s="1" t="n"/>
      <c r="Q11" s="1" t="n"/>
      <c r="R11" s="1" t="n"/>
      <c r="S11" s="1" t="n"/>
      <c r="T11" s="1" t="n"/>
      <c r="U11" s="1" t="n"/>
      <c r="V11" s="1" t="n"/>
      <c r="W11" s="1" t="n"/>
      <c r="X11" s="1" t="n"/>
      <c r="Y11" s="1" t="n"/>
      <c r="Z11" s="1" t="n"/>
    </row>
    <row r="12">
      <c r="A12" s="44" t="n"/>
      <c r="B12" s="44" t="n"/>
      <c r="C12" s="56" t="n"/>
      <c r="D12" s="56" t="n"/>
      <c r="E12" s="44" t="n"/>
      <c r="F12" s="44" t="n"/>
      <c r="G12" s="44" t="n"/>
      <c r="H12" s="1" t="n"/>
      <c r="I12" s="1" t="n"/>
      <c r="J12" s="1" t="n"/>
      <c r="K12" s="1" t="n"/>
      <c r="L12" s="1" t="n"/>
      <c r="M12" s="1" t="n"/>
      <c r="N12" s="1" t="n"/>
      <c r="O12" s="1" t="n"/>
      <c r="P12" s="1" t="n"/>
      <c r="Q12" s="1" t="n"/>
      <c r="R12" s="1" t="n"/>
      <c r="S12" s="1" t="n"/>
      <c r="T12" s="1" t="n"/>
      <c r="U12" s="1" t="n"/>
      <c r="V12" s="1" t="n"/>
      <c r="W12" s="1" t="n"/>
      <c r="X12" s="1" t="n"/>
      <c r="Y12" s="1" t="n"/>
      <c r="Z12" s="1" t="n"/>
    </row>
    <row r="13" ht="14.5" customHeight="1">
      <c r="A13" s="43" t="inlineStr">
        <is>
          <t>D2. Decision Governance &amp; Portfolio Integration</t>
        </is>
      </c>
      <c r="F13" s="44" t="n"/>
      <c r="G13" s="44" t="n"/>
      <c r="H13" s="1" t="n"/>
      <c r="I13" s="1" t="n"/>
      <c r="J13" s="1" t="n"/>
      <c r="K13" s="1" t="n"/>
      <c r="L13" s="1" t="n"/>
      <c r="M13" s="1" t="n"/>
      <c r="N13" s="1" t="n"/>
      <c r="O13" s="1" t="n"/>
      <c r="P13" s="1" t="n"/>
      <c r="Q13" s="1" t="n"/>
      <c r="R13" s="1" t="n"/>
      <c r="S13" s="1" t="n"/>
      <c r="T13" s="1" t="n"/>
      <c r="U13" s="1" t="n"/>
      <c r="V13" s="1" t="n"/>
      <c r="W13" s="1" t="n"/>
      <c r="X13" s="1" t="n"/>
      <c r="Y13" s="1" t="n"/>
      <c r="Z13" s="1" t="n"/>
    </row>
    <row r="14" ht="33.4" customHeight="1">
      <c r="A14" s="37" t="inlineStr">
        <is>
          <t>The capability to turn value judgments into transparent, authoritative portfolio choices that account for funding, capacity, dependencies, sequencing, exceptions, and displacement of other work. AI becomes relevant only when its role, evidence obligations, and authority limits are explicit.</t>
        </is>
      </c>
      <c r="F14" s="44" t="n"/>
      <c r="G14" s="44" t="n"/>
      <c r="H14" s="1" t="n"/>
      <c r="I14" s="1" t="n"/>
      <c r="J14" s="1" t="n"/>
      <c r="K14" s="1" t="n"/>
      <c r="L14" s="1" t="n"/>
      <c r="M14" s="1" t="n"/>
      <c r="N14" s="1" t="n"/>
      <c r="O14" s="1" t="n"/>
      <c r="P14" s="1" t="n"/>
      <c r="Q14" s="1" t="n"/>
      <c r="R14" s="1" t="n"/>
      <c r="S14" s="1" t="n"/>
      <c r="T14" s="1" t="n"/>
      <c r="U14" s="1" t="n"/>
      <c r="V14" s="1" t="n"/>
      <c r="W14" s="1" t="n"/>
      <c r="X14" s="1" t="n"/>
      <c r="Y14" s="1" t="n"/>
      <c r="Z14" s="1" t="n"/>
    </row>
    <row r="15">
      <c r="A15" s="47" t="inlineStr">
        <is>
          <t>Level</t>
        </is>
      </c>
      <c r="B15" s="47" t="inlineStr">
        <is>
          <t>Dimension-specific state</t>
        </is>
      </c>
      <c r="C15" s="47" t="inlineStr">
        <is>
          <t>Maturity definition</t>
        </is>
      </c>
      <c r="D15" s="47" t="inlineStr">
        <is>
          <t>Indicative evidence</t>
        </is>
      </c>
      <c r="E15" s="47" t="inlineStr">
        <is>
          <t>Transition to next level</t>
        </is>
      </c>
      <c r="F15" s="44" t="n"/>
      <c r="G15" s="44" t="n"/>
      <c r="H15" s="1" t="n"/>
      <c r="I15" s="1" t="n"/>
      <c r="J15" s="1" t="n"/>
      <c r="K15" s="1" t="n"/>
      <c r="L15" s="1" t="n"/>
      <c r="M15" s="1" t="n"/>
      <c r="N15" s="1" t="n"/>
      <c r="O15" s="1" t="n"/>
      <c r="P15" s="1" t="n"/>
      <c r="Q15" s="1" t="n"/>
      <c r="R15" s="1" t="n"/>
      <c r="S15" s="1" t="n"/>
      <c r="T15" s="1" t="n"/>
      <c r="U15" s="1" t="n"/>
      <c r="V15" s="1" t="n"/>
      <c r="W15" s="1" t="n"/>
      <c r="X15" s="1" t="n"/>
      <c r="Y15" s="1" t="n"/>
      <c r="Z15" s="1" t="n"/>
    </row>
    <row r="16" ht="68" customHeight="1">
      <c r="A16" s="16" t="inlineStr">
        <is>
          <t>A</t>
        </is>
      </c>
      <c r="B16" s="17" t="inlineStr">
        <is>
          <t>Nascent</t>
        </is>
      </c>
      <c r="C16" s="55" t="inlineStr">
        <is>
          <t>Prioritization is a series of local decisions made by the loudest stakeholder, highest-ranking executive, or most urgent customer request. AI may be used privately to strengthen advocacy, but its evidence, reasoning, and influence are invisible. There is no stable decision forum, no visible displacement of other work, and little distinction between recommending, approving, and committing.</t>
        </is>
      </c>
      <c r="D16" s="55" t="inlineStr">
        <is>
          <t>Unrecorded overrides; backlog churn; private AI-generated narratives; urgent work inserted without explicit trade-off; no portfolio-level decision record.</t>
        </is>
      </c>
      <c r="E16" s="44" t="inlineStr">
        <is>
          <t>Create a recurring decision forum and name who proposes, challenges, decides, records, and commits the outcome.</t>
        </is>
      </c>
      <c r="F16" s="44" t="n"/>
      <c r="G16" s="44" t="n"/>
      <c r="H16" s="1" t="n"/>
      <c r="I16" s="1" t="n"/>
      <c r="J16" s="1" t="n"/>
      <c r="K16" s="1" t="n"/>
      <c r="L16" s="1" t="n"/>
      <c r="M16" s="1" t="n"/>
      <c r="N16" s="1" t="n"/>
      <c r="O16" s="1" t="n"/>
      <c r="P16" s="1" t="n"/>
      <c r="Q16" s="1" t="n"/>
      <c r="R16" s="1" t="n"/>
      <c r="S16" s="1" t="n"/>
      <c r="T16" s="1" t="n"/>
      <c r="U16" s="1" t="n"/>
      <c r="V16" s="1" t="n"/>
      <c r="W16" s="1" t="n"/>
      <c r="X16" s="1" t="n"/>
      <c r="Y16" s="1" t="n"/>
      <c r="Z16" s="1" t="n"/>
    </row>
    <row r="17" ht="68" customHeight="1">
      <c r="A17" s="18" t="inlineStr">
        <is>
          <t>B</t>
        </is>
      </c>
      <c r="B17" s="19" t="inlineStr">
        <is>
          <t>Modeled</t>
        </is>
      </c>
      <c r="C17" s="56" t="inlineStr">
        <is>
          <t>A scorecard or ranking is used in recurring prioritization meetings, and decisions are documented. AI may prepare summaries, compare proposals, expose obvious conflicts, or record rationale, but it has no governed role and lacks complete access to capacity, funding, dependencies, sequencing, and portfolio context. Executives may still override the result without a standard exception path.</t>
        </is>
      </c>
      <c r="D17" s="56" t="inlineStr">
        <is>
          <t>Recurring workshop; ranked list; AI-generated meeting preparation; documented decisions; limited constraint analysis; informal overrides.</t>
        </is>
      </c>
      <c r="E17" s="44" t="inlineStr">
        <is>
          <t>Define decision rights, an exception path, the portfolio constraints that must be applied, and the specific AI role in evidence assembly and analysis.</t>
        </is>
      </c>
      <c r="F17" s="44" t="n"/>
      <c r="G17" s="44" t="n"/>
      <c r="H17" s="1" t="n"/>
      <c r="I17" s="1" t="n"/>
      <c r="J17" s="1" t="n"/>
      <c r="K17" s="1" t="n"/>
      <c r="L17" s="1" t="n"/>
      <c r="M17" s="1" t="n"/>
      <c r="N17" s="1" t="n"/>
      <c r="O17" s="1" t="n"/>
      <c r="P17" s="1" t="n"/>
      <c r="Q17" s="1" t="n"/>
      <c r="R17" s="1" t="n"/>
      <c r="S17" s="1" t="n"/>
      <c r="T17" s="1" t="n"/>
      <c r="U17" s="1" t="n"/>
      <c r="V17" s="1" t="n"/>
      <c r="W17" s="1" t="n"/>
      <c r="X17" s="1" t="n"/>
      <c r="Y17" s="1" t="n"/>
      <c r="Z17" s="1" t="n"/>
    </row>
    <row r="18" ht="68" customHeight="1">
      <c r="A18" s="20" t="inlineStr">
        <is>
          <t>C</t>
        </is>
      </c>
      <c r="B18" s="21" t="inlineStr">
        <is>
          <t>Continuous</t>
        </is>
      </c>
      <c r="C18" s="53" t="inlineStr">
        <is>
          <t>Scoring, challenge, approval, exception, and commitment are distinct and traceable. AI roles and limits are explicit: AI assembles evidence, checks candidate completeness, verifies dependencies and capacity constraints, and records provenance; named humans make consequential decisions. Funding, sequencing, risk, and portfolio balance constrain the ranked list, and the result directly governs committed work within a portfolio.</t>
        </is>
      </c>
      <c r="D18" s="53" t="inlineStr">
        <is>
          <t>Decision log; named authorities; governed AI role; evidence provenance; capacity plan; dependency view; exception record; roadmap traceability.</t>
        </is>
      </c>
      <c r="E18" s="44" t="inlineStr">
        <is>
          <t>Extend the same decision system across Product, Engineering, Architecture, Finance, and go-to-market portfolios, with common scenario semantics.</t>
        </is>
      </c>
      <c r="F18" s="44" t="n"/>
      <c r="G18" s="44" t="n"/>
      <c r="H18" s="1" t="n"/>
      <c r="I18" s="1" t="n"/>
      <c r="J18" s="1" t="n"/>
      <c r="K18" s="1" t="n"/>
      <c r="L18" s="1" t="n"/>
      <c r="M18" s="1" t="n"/>
      <c r="N18" s="1" t="n"/>
      <c r="O18" s="1" t="n"/>
      <c r="P18" s="1" t="n"/>
      <c r="Q18" s="1" t="n"/>
      <c r="R18" s="1" t="n"/>
      <c r="S18" s="1" t="n"/>
      <c r="T18" s="1" t="n"/>
      <c r="U18" s="1" t="n"/>
      <c r="V18" s="1" t="n"/>
      <c r="W18" s="1" t="n"/>
      <c r="X18" s="1" t="n"/>
      <c r="Y18" s="1" t="n"/>
      <c r="Z18" s="1" t="n"/>
    </row>
    <row r="19" ht="68" customHeight="1">
      <c r="A19" s="22" t="inlineStr">
        <is>
          <t>D</t>
        </is>
      </c>
      <c r="B19" s="23" t="inlineStr">
        <is>
          <t>Integral</t>
        </is>
      </c>
      <c r="C19" s="8" t="inlineStr">
        <is>
          <t>A shared prioritization system operates across functions and product areas. AI traverses product, engineering, architecture, finance, customer, and go-to-market evidence to model displacement and second-order effects. Independent analysis can challenge the originating proposal and show what is delayed, unfunded, or made riskier when one investment advances. Humans govern the scenarios, thresholds, and final commitments.</t>
        </is>
      </c>
      <c r="D19" s="8" t="inlineStr">
        <is>
          <t>Cross-portfolio scenarios; integrated funding and capacity views; AI-supported displacement analysis; independent challenge; architecture and dependency impacts.</t>
        </is>
      </c>
      <c r="E19" s="44" t="inlineStr">
        <is>
          <t>Reduce the latency between material evidence changes and governed reconsideration while preserving authority, evidence, and exception discipline.</t>
        </is>
      </c>
      <c r="F19" s="44" t="n"/>
      <c r="G19" s="44" t="n"/>
      <c r="H19" s="1" t="n"/>
      <c r="I19" s="1" t="n"/>
      <c r="J19" s="1" t="n"/>
      <c r="K19" s="1" t="n"/>
      <c r="L19" s="1" t="n"/>
      <c r="M19" s="1" t="n"/>
      <c r="N19" s="1" t="n"/>
      <c r="O19" s="1" t="n"/>
      <c r="P19" s="1" t="n"/>
      <c r="Q19" s="1" t="n"/>
      <c r="R19" s="1" t="n"/>
      <c r="S19" s="1" t="n"/>
      <c r="T19" s="1" t="n"/>
      <c r="U19" s="1" t="n"/>
      <c r="V19" s="1" t="n"/>
      <c r="W19" s="1" t="n"/>
      <c r="X19" s="1" t="n"/>
      <c r="Y19" s="1" t="n"/>
      <c r="Z19" s="1" t="n"/>
    </row>
    <row r="20" ht="68" customHeight="1">
      <c r="A20" s="24" t="inlineStr">
        <is>
          <t>E</t>
        </is>
      </c>
      <c r="B20" s="25" t="inlineStr">
        <is>
          <t>Telemetric</t>
        </is>
      </c>
      <c r="C20" s="44" t="inlineStr">
        <is>
          <t>Prioritization operates as a standing management system rather than an episodic workshop. New demand enters through a known path; comparable evidence is assembled; alternatives are challenged; and capacity, funding, dependencies, sequencing, and portfolio balance are resolved continuously. AI monitors material changes, maintains decision-ready scenarios, and initiates governed reconsideration. Routine low-consequence actions may be delegated within explicit authority, while consequential portfolio choices remain visibly human-owned.</t>
        </is>
      </c>
      <c r="D20" s="44" t="inlineStr">
        <is>
          <t>Governed intake-to-commit flow; live portfolio scenarios; event-driven reconsideration; bounded AI authority; rapid but traceable continue, pause, stop, accelerate, and reallocate decisions.</t>
        </is>
      </c>
      <c r="E20" s="44" t="inlineStr">
        <is>
          <t>Continuously test whether adaptive speed is preserving strategic coherence and constitutional authority rather than amplifying short-term noise.</t>
        </is>
      </c>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5" customHeight="1">
      <c r="A22" s="38" t="inlineStr">
        <is>
          <t>D3. Outcome Calibration &amp; Adaptation</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33.4" customHeight="1">
      <c r="A23" s="37" t="inlineStr">
        <is>
          <t>The capability to compare predicted value, effort, timing, and risk with realized outcomes; distinguish execution, forecast, model, and intent failure; and return the findings to the portfolio, value model, and—when warranted—the originating enterprise intent.</t>
        </is>
      </c>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47" t="inlineStr">
        <is>
          <t>Level</t>
        </is>
      </c>
      <c r="B24" s="47" t="inlineStr">
        <is>
          <t>Dimension-specific state</t>
        </is>
      </c>
      <c r="C24" s="47" t="inlineStr">
        <is>
          <t>Maturity definition</t>
        </is>
      </c>
      <c r="D24" s="47" t="inlineStr">
        <is>
          <t>Indicative evidence</t>
        </is>
      </c>
      <c r="E24" s="47" t="inlineStr">
        <is>
          <t>Transition to next level</t>
        </is>
      </c>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68" customHeight="1">
      <c r="A25" s="16" t="inlineStr">
        <is>
          <t>A</t>
        </is>
      </c>
      <c r="B25" s="17" t="inlineStr">
        <is>
          <t>Nascent</t>
        </is>
      </c>
      <c r="C25" s="44" t="inlineStr">
        <is>
          <t>Once work is approved, the prioritization decision is rarely revisited. Delivery may be tracked, and AI may summarize results after the fact, but the original value hypothesis, evidence, assumptions, and intended outcome are not preserved well enough to determine whether the decision was right.</t>
        </is>
      </c>
      <c r="D25" s="44" t="inlineStr">
        <is>
          <t>Shipped equals successful; no benefits review; no record of original assumptions; post-hoc AI summaries without a comparison baseline.</t>
        </is>
      </c>
      <c r="E25" s="44" t="inlineStr">
        <is>
          <t>For every material decision, preserve the expected outcome, measure, owner, review date, underlying value hypothesis, and originating intent.</t>
        </is>
      </c>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68" customHeight="1">
      <c r="A26" s="18" t="inlineStr">
        <is>
          <t>B</t>
        </is>
      </c>
      <c r="B26" s="19" t="inlineStr">
        <is>
          <t>Modeled</t>
        </is>
      </c>
      <c r="C26" s="44" t="inlineStr">
        <is>
          <t>Major initiatives receive occasional after-action review. AI helps synthesize retrospectives and compare planned versus actual effort, timing, or selected business outcomes, but the analysis is episodic and selective. Lessons usually affect the next project informally rather than changing the prioritization model or portfolio.</t>
        </is>
      </c>
      <c r="D26" s="44" t="inlineStr">
        <is>
          <t>Project retrospectives; AI-assisted synthesis; planned-versus-actual delivery review; informal benefits discussion; isolated lessons.</t>
        </is>
      </c>
      <c r="E26" s="44" t="inlineStr">
        <is>
          <t>Require consistent outcome hypotheses and scheduled reviews, and link realized evidence back to the original decision rather than only to delivery performance.</t>
        </is>
      </c>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68" customHeight="1">
      <c r="A27" s="20" t="inlineStr">
        <is>
          <t>C</t>
        </is>
      </c>
      <c r="B27" s="21" t="inlineStr">
        <is>
          <t>Continuous</t>
        </is>
      </c>
      <c r="C27" s="44" t="inlineStr">
        <is>
          <t>Material prioritization decisions carry explicit expected outcomes, measures, timing, ownership, value hypotheses, and originating intent. AI connects the original decision to subsequent customer, market, financial, delivery, architectural, debt, and risk evidence, flags material variance, and keeps verified evidence, reported information, assumptions, and inference visibly distinct.</t>
        </is>
      </c>
      <c r="D27" s="44" t="inlineStr">
        <is>
          <t>Benefits register; decision-to-outcome traceability; named outcome owner; AI-assembled evidence package; forecast-versus-actual review; model-change log.</t>
        </is>
      </c>
      <c r="E27" s="44" t="inlineStr">
        <is>
          <t>Measure forecast accuracy and recurring bias by criterion, investment type, product area, and decision team, using independent analysis where practical.</t>
        </is>
      </c>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68" customHeight="1">
      <c r="A28" s="22" t="inlineStr">
        <is>
          <t>D</t>
        </is>
      </c>
      <c r="B28" s="23" t="inlineStr">
        <is>
          <t>Integral</t>
        </is>
      </c>
      <c r="C28" s="44" t="inlineStr">
        <is>
          <t>AI identifies where the organization systematically overstates value, understates effort, misses timing, discounts risk, or misreads evidence. Forecast accuracy and bias are measured by criterion, team, product area, and investment type. Scoring anchors, confidence ranges, weights, and governance practices are adjusted empirically, and continue, expand, pause, or stop decisions occur before all planned investment is consumed.</t>
        </is>
      </c>
      <c r="D28" s="44" t="inlineStr">
        <is>
          <t>Bias analysis; criterion calibration; confidence ranges; independent AI review; stage decisions; evidence-based model revisions; preserved decision lineage.</t>
        </is>
      </c>
      <c r="E28" s="44" t="inlineStr">
        <is>
          <t>Close the loop to enterprise intent: distinguish execution failure, forecast error, model error, and possible intent failure, then route each to its proper authority.</t>
        </is>
      </c>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68" customHeight="1">
      <c r="A29" s="24" t="inlineStr">
        <is>
          <t>E</t>
        </is>
      </c>
      <c r="B29" s="25" t="inlineStr">
        <is>
          <t>Telemetric</t>
        </is>
      </c>
      <c r="C29" s="44" t="inlineStr">
        <is>
          <t>Product prioritization operates as a continuous learning loop. Customer, market, financial, delivery, architectural, debt, and risk evidence is traced back to the original value hypothesis and the intent it served. AI assistance detects variance, systematic bias, model drift, and emerging opportunity while work is still underway, distinguishing execution failure from forecasting error, model error, and possible intent failure. The portfolio, prioritization model, and—when warranted—the originating intent can each be reconsidered through their proper authority, without losing decision lineage or converting inference into fact.</t>
        </is>
      </c>
      <c r="D29" s="44" t="inlineStr">
        <is>
          <t>Continuous outcome signals; intent-to-decision-to-outcome traceability; failure-class diagnosis; model-drift checks; early continue, pause, stop, or redirect decisions; preserved evidence and authority lineage.</t>
        </is>
      </c>
      <c r="E29" s="44" t="inlineStr">
        <is>
          <t>Sustain epistemic and constitutional discipline: ensure the loop can challenge intent without allowing AI inference to silently become enterprise intent.</t>
        </is>
      </c>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sheetData>
  <mergeCells count="8">
    <mergeCell ref="A4:E4"/>
    <mergeCell ref="A1:G1"/>
    <mergeCell ref="A2:G2"/>
    <mergeCell ref="A5:E5"/>
    <mergeCell ref="A23:E23"/>
    <mergeCell ref="A13:E13"/>
    <mergeCell ref="A14:E14"/>
    <mergeCell ref="A22:E2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
  <cols>
    <col width="38" customWidth="1" min="1" max="1"/>
    <col width="14" customWidth="1" min="2" max="3"/>
    <col width="18" customWidth="1" min="4" max="4"/>
    <col width="14" customWidth="1" min="5" max="7"/>
    <col width="44" customWidth="1" min="8" max="8"/>
    <col width="48" customWidth="1" min="9" max="9"/>
  </cols>
  <sheetData>
    <row r="1" ht="20" customHeight="1">
      <c r="A1" s="39" t="inlineStr">
        <is>
          <t>AI-Native Product Prioritization Maturity Assessment</t>
        </is>
      </c>
      <c r="I1" s="1" t="n"/>
      <c r="J1" s="1" t="n"/>
      <c r="K1" s="1" t="n"/>
      <c r="L1" s="1" t="n"/>
      <c r="M1" s="1" t="n"/>
      <c r="N1" s="1" t="n"/>
      <c r="O1" s="1" t="n"/>
      <c r="P1" s="1" t="n"/>
      <c r="Q1" s="1" t="n"/>
      <c r="R1" s="1" t="n"/>
      <c r="S1" s="1" t="n"/>
      <c r="T1" s="1" t="n"/>
      <c r="U1" s="1" t="n"/>
      <c r="V1" s="1" t="n"/>
      <c r="W1" s="1" t="n"/>
      <c r="X1" s="1" t="n"/>
      <c r="Y1" s="1" t="n"/>
      <c r="Z1" s="1" t="n"/>
    </row>
    <row r="2">
      <c r="A2" s="41" t="inlineStr">
        <is>
          <t>Select current and target grades. Record evidence of normal operating behavior—not tool adoption alone.</t>
        </is>
      </c>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3" t="inlineStr">
        <is>
          <t>Summary</t>
        </is>
      </c>
      <c r="B4" s="3" t="inlineStr">
        <is>
          <t>Value</t>
        </is>
      </c>
      <c r="C4" s="1" t="n"/>
      <c r="D4" s="3" t="inlineStr">
        <is>
          <t>Metric</t>
        </is>
      </c>
      <c r="E4" s="3" t="inlineStr">
        <is>
          <t>Value</t>
        </is>
      </c>
      <c r="F4" s="1" t="n"/>
      <c r="G4" s="1" t="n"/>
      <c r="H4" s="1" t="n"/>
      <c r="I4" s="1" t="n"/>
      <c r="J4" s="1" t="n"/>
      <c r="K4" s="1" t="n"/>
      <c r="L4" s="1" t="n"/>
      <c r="M4" s="1" t="n"/>
      <c r="N4" s="1" t="n"/>
      <c r="O4" s="1" t="n"/>
      <c r="P4" s="1" t="n"/>
      <c r="Q4" s="1" t="n"/>
      <c r="R4" s="1" t="n"/>
      <c r="S4" s="1" t="n"/>
      <c r="T4" s="1" t="n"/>
      <c r="U4" s="1" t="n"/>
      <c r="V4" s="1" t="n"/>
      <c r="W4" s="1" t="n"/>
      <c r="X4" s="1" t="n"/>
      <c r="Y4" s="1" t="n"/>
      <c r="Z4" s="1" t="n"/>
    </row>
    <row r="5">
      <c r="A5" s="9" t="inlineStr">
        <is>
          <t>Overall Grade</t>
        </is>
      </c>
      <c r="B5" s="44">
        <f>IF(E5="","",CHOOSE(ROUND(E5,0),"A","B","C","D","E"))</f>
        <v/>
      </c>
      <c r="C5" s="1" t="n"/>
      <c r="D5" s="9" t="inlineStr">
        <is>
          <t>Average Score</t>
        </is>
      </c>
      <c r="E5" s="44">
        <f>IF(COUNT(C11:C13)=0,"",AVERAGE(C11:C13))</f>
        <v/>
      </c>
      <c r="F5" s="1" t="n"/>
      <c r="G5" s="1" t="n"/>
      <c r="H5" s="1" t="n"/>
      <c r="I5" s="1" t="n"/>
      <c r="J5" s="1" t="n"/>
      <c r="K5" s="1" t="n"/>
      <c r="L5" s="1" t="n"/>
      <c r="M5" s="1" t="n"/>
      <c r="N5" s="1" t="n"/>
      <c r="O5" s="1" t="n"/>
      <c r="P5" s="1" t="n"/>
      <c r="Q5" s="1" t="n"/>
      <c r="R5" s="1" t="n"/>
      <c r="S5" s="1" t="n"/>
      <c r="T5" s="1" t="n"/>
      <c r="U5" s="1" t="n"/>
      <c r="V5" s="1" t="n"/>
      <c r="W5" s="1" t="n"/>
      <c r="X5" s="1" t="n"/>
      <c r="Y5" s="1" t="n"/>
      <c r="Z5" s="1" t="n"/>
    </row>
    <row r="6" ht="26" customHeight="1">
      <c r="A6" s="9" t="inlineStr">
        <is>
          <t>Lowest Dimension</t>
        </is>
      </c>
      <c r="B6" s="44">
        <f>IF(COUNT(C11:C13)&lt;3,"",INDEX(A11:A13,MATCH(MIN(C11:C13),C11:C13,0)))</f>
        <v/>
      </c>
      <c r="C6" s="1" t="n"/>
      <c r="D6" s="9" t="inlineStr">
        <is>
          <t>Completed Dimensions</t>
        </is>
      </c>
      <c r="E6" s="44">
        <f>COUNT(C11:C13)</f>
        <v/>
      </c>
      <c r="F6" s="1" t="n"/>
      <c r="G6" s="1" t="n"/>
      <c r="H6" s="1" t="n"/>
      <c r="I6" s="1" t="n"/>
      <c r="J6" s="1" t="n"/>
      <c r="K6" s="1" t="n"/>
      <c r="L6" s="1" t="n"/>
      <c r="M6" s="1" t="n"/>
      <c r="N6" s="1" t="n"/>
      <c r="O6" s="1" t="n"/>
      <c r="P6" s="1" t="n"/>
      <c r="Q6" s="1" t="n"/>
      <c r="R6" s="1" t="n"/>
      <c r="S6" s="1" t="n"/>
      <c r="T6" s="1" t="n"/>
      <c r="U6" s="1" t="n"/>
      <c r="V6" s="1" t="n"/>
      <c r="W6" s="1" t="n"/>
      <c r="X6" s="1" t="n"/>
      <c r="Y6" s="1" t="n"/>
      <c r="Z6" s="1" t="n"/>
    </row>
    <row r="7">
      <c r="A7" s="9" t="inlineStr">
        <is>
          <t>Grade Spread</t>
        </is>
      </c>
      <c r="B7" s="44">
        <f>IF(COUNT(C11:C13)&lt;3,"",MAX(C11:C13)-MIN(C11:C13))</f>
        <v/>
      </c>
      <c r="C7" s="1" t="n"/>
      <c r="D7" s="9" t="inlineStr">
        <is>
          <t>Interpretation</t>
        </is>
      </c>
      <c r="E7" s="44">
        <f>IF(E6=0,"Not started",IF(E6&lt;3,"Partial profile",IF(B7&gt;1,"Material maturity gap—improve the constrained dimension first","Balanced profile")))</f>
        <v/>
      </c>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36" customHeight="1">
      <c r="A10" s="3" t="inlineStr">
        <is>
          <t>Dimension</t>
        </is>
      </c>
      <c r="B10" s="3" t="inlineStr">
        <is>
          <t>Current Grade</t>
        </is>
      </c>
      <c r="C10" s="3" t="inlineStr">
        <is>
          <t>Current Score</t>
        </is>
      </c>
      <c r="D10" s="3" t="inlineStr">
        <is>
          <t>Current Level</t>
        </is>
      </c>
      <c r="E10" s="3" t="inlineStr">
        <is>
          <t>Target Grade</t>
        </is>
      </c>
      <c r="F10" s="3" t="inlineStr">
        <is>
          <t>Target Score</t>
        </is>
      </c>
      <c r="G10" s="3" t="inlineStr">
        <is>
          <t>Gap</t>
        </is>
      </c>
      <c r="H10" s="3" t="inlineStr">
        <is>
          <t>Evidence / Notes</t>
        </is>
      </c>
      <c r="I10" s="3" t="inlineStr">
        <is>
          <t>Typical Next Step</t>
        </is>
      </c>
      <c r="J10" s="1" t="n"/>
      <c r="K10" s="1" t="n"/>
      <c r="L10" s="1" t="n"/>
      <c r="M10" s="1" t="n"/>
      <c r="N10" s="1" t="n"/>
      <c r="O10" s="1" t="n"/>
      <c r="P10" s="1" t="n"/>
      <c r="Q10" s="1" t="n"/>
      <c r="R10" s="1" t="n"/>
      <c r="S10" s="1" t="n"/>
      <c r="T10" s="1" t="n"/>
      <c r="U10" s="1" t="n"/>
      <c r="V10" s="1" t="n"/>
      <c r="W10" s="1" t="n"/>
      <c r="X10" s="1" t="n"/>
      <c r="Y10" s="1" t="n"/>
      <c r="Z10" s="1" t="n"/>
    </row>
    <row r="11" ht="36" customHeight="1">
      <c r="A11" s="44" t="inlineStr">
        <is>
          <t>Value Model Coherence</t>
        </is>
      </c>
      <c r="B11" s="56" t="n"/>
      <c r="C11" s="44">
        <f>IF(B11="","",IF(B11="A",1,IF(B11="B",2,IF(B11="C",3,IF(B11="D",4,5)))))</f>
        <v/>
      </c>
      <c r="D11" s="44">
        <f>IF(B11="","",VLOOKUP("D1|"&amp;B11,Reference!$F$2:$M$16,5,FALSE))</f>
        <v/>
      </c>
      <c r="E11" s="56" t="n"/>
      <c r="F11" s="44">
        <f>IF(E11="","",IF(E11="A",1,IF(E11="B",2,IF(E11="C",3,IF(E11="D",4,5)))))</f>
        <v/>
      </c>
      <c r="G11" s="44">
        <f>IF(OR(C11="",F11=""),"",F11-C11)</f>
        <v/>
      </c>
      <c r="H11" s="56" t="n"/>
      <c r="I11" s="44">
        <f>IF(B11="","",VLOOKUP("D1|"&amp;B11,Reference!$F$2:$M$16,8,FALSE))</f>
        <v/>
      </c>
      <c r="J11" s="1" t="n"/>
      <c r="K11" s="1" t="n"/>
      <c r="L11" s="1" t="n"/>
      <c r="M11" s="1" t="n"/>
      <c r="N11" s="1" t="n"/>
      <c r="O11" s="1" t="n"/>
      <c r="P11" s="1" t="n"/>
      <c r="Q11" s="1" t="n"/>
      <c r="R11" s="1" t="n"/>
      <c r="S11" s="1" t="n"/>
      <c r="T11" s="1" t="n"/>
      <c r="U11" s="1" t="n"/>
      <c r="V11" s="1" t="n"/>
      <c r="W11" s="1" t="n"/>
      <c r="X11" s="1" t="n"/>
      <c r="Y11" s="1" t="n"/>
      <c r="Z11" s="1" t="n"/>
    </row>
    <row r="12" ht="36" customHeight="1">
      <c r="A12" s="44" t="inlineStr">
        <is>
          <t>Decision Governance &amp; Portfolio Integration</t>
        </is>
      </c>
      <c r="B12" s="56" t="n"/>
      <c r="C12" s="44">
        <f>IF(B12="","",IF(B12="A",1,IF(B12="B",2,IF(B12="C",3,IF(B12="D",4,5)))))</f>
        <v/>
      </c>
      <c r="D12" s="44">
        <f>IF(B12="","",VLOOKUP("D2|"&amp;B12,Reference!$F$2:$M$16,5,FALSE))</f>
        <v/>
      </c>
      <c r="E12" s="56" t="n"/>
      <c r="F12" s="44">
        <f>IF(E12="","",IF(E12="A",1,IF(E12="B",2,IF(E12="C",3,IF(E12="D",4,5)))))</f>
        <v/>
      </c>
      <c r="G12" s="44">
        <f>IF(OR(C12="",F12=""),"",F12-C12)</f>
        <v/>
      </c>
      <c r="H12" s="56" t="n"/>
      <c r="I12" s="44">
        <f>IF(B12="","",VLOOKUP("D2|"&amp;B12,Reference!$F$2:$M$16,8,FALSE))</f>
        <v/>
      </c>
      <c r="J12" s="1" t="n"/>
      <c r="K12" s="1" t="n"/>
      <c r="L12" s="1" t="n"/>
      <c r="M12" s="1" t="n"/>
      <c r="N12" s="1" t="n"/>
      <c r="O12" s="1" t="n"/>
      <c r="P12" s="1" t="n"/>
      <c r="Q12" s="1" t="n"/>
      <c r="R12" s="1" t="n"/>
      <c r="S12" s="1" t="n"/>
      <c r="T12" s="1" t="n"/>
      <c r="U12" s="1" t="n"/>
      <c r="V12" s="1" t="n"/>
      <c r="W12" s="1" t="n"/>
      <c r="X12" s="1" t="n"/>
      <c r="Y12" s="1" t="n"/>
      <c r="Z12" s="1" t="n"/>
    </row>
    <row r="13" ht="36" customHeight="1">
      <c r="A13" s="44" t="inlineStr">
        <is>
          <t>Outcome Calibration &amp; Adaptation</t>
        </is>
      </c>
      <c r="B13" s="56" t="n"/>
      <c r="C13" s="44">
        <f>IF(B13="","",IF(B13="A",1,IF(B13="B",2,IF(B13="C",3,IF(B13="D",4,5)))))</f>
        <v/>
      </c>
      <c r="D13" s="44">
        <f>IF(B13="","",VLOOKUP("D3|"&amp;B13,Reference!$F$2:$M$16,5,FALSE))</f>
        <v/>
      </c>
      <c r="E13" s="56" t="n"/>
      <c r="F13" s="44">
        <f>IF(E13="","",IF(E13="A",1,IF(E13="B",2,IF(E13="C",3,IF(E13="D",4,5)))))</f>
        <v/>
      </c>
      <c r="G13" s="44">
        <f>IF(OR(C13="",F13=""),"",F13-C13)</f>
        <v/>
      </c>
      <c r="H13" s="56" t="n"/>
      <c r="I13" s="44">
        <f>IF(B13="","",VLOOKUP("D3|"&amp;B13,Reference!$F$2:$M$16,8,FALSE))</f>
        <v/>
      </c>
      <c r="J13" s="1"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sheetData>
  <mergeCells count="2">
    <mergeCell ref="A2:H2"/>
    <mergeCell ref="A1:H1"/>
  </mergeCells>
  <conditionalFormatting sqref="B7">
    <cfRule type="cellIs" priority="12" operator="greaterThan" dxfId="4">
      <formula>1</formula>
    </cfRule>
  </conditionalFormatting>
  <conditionalFormatting sqref="B11:B13">
    <cfRule type="expression" priority="13" dxfId="4">
      <formula>B11="A"</formula>
    </cfRule>
    <cfRule type="expression" priority="14" dxfId="3">
      <formula>B11="B"</formula>
    </cfRule>
    <cfRule type="expression" priority="15" dxfId="2">
      <formula>B11="C"</formula>
    </cfRule>
    <cfRule type="expression" priority="16" dxfId="1">
      <formula>B11="D"</formula>
    </cfRule>
    <cfRule type="expression" priority="17" dxfId="0">
      <formula>B11="E"</formula>
    </cfRule>
  </conditionalFormatting>
  <conditionalFormatting sqref="E11:E13">
    <cfRule type="expression" priority="18" dxfId="4">
      <formula>E11="A"</formula>
    </cfRule>
    <cfRule type="expression" priority="19" dxfId="3">
      <formula>E11="B"</formula>
    </cfRule>
    <cfRule type="expression" priority="20" dxfId="2">
      <formula>E11="C"</formula>
    </cfRule>
    <cfRule type="expression" priority="21" dxfId="1">
      <formula>E11="D"</formula>
    </cfRule>
    <cfRule type="expression" priority="22" dxfId="0">
      <formula>E11="E"</formula>
    </cfRule>
  </conditionalFormatting>
  <conditionalFormatting sqref="G11:G13">
    <cfRule type="dataBar" priority="11">
      <dataBar>
        <cfvo type="min"/>
        <cfvo type="max"/>
        <color rgb="FF5B9BD5"/>
      </dataBar>
    </cfRule>
    <cfRule type="dataBar" priority="23">
      <dataBar>
        <cfvo type="min"/>
        <cfvo type="max"/>
        <color rgb="FF5B9BD5"/>
      </dataBar>
    </cfRule>
  </conditionalFormatting>
  <dataValidations count="1">
    <dataValidation sqref="B11:B13 E11:E13" showDropDown="0" showInputMessage="0" showErrorMessage="0" allowBlank="0" type="list">
      <formula1>"A,B,C,D,E"</formula1>
    </dataValidation>
  </dataValidation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
  <cols>
    <col width="36" customWidth="1" min="1" max="1"/>
    <col width="45" customWidth="1" min="2" max="2"/>
    <col width="40" customWidth="1" min="3" max="5"/>
    <col width="32" customWidth="1" min="6" max="6"/>
  </cols>
  <sheetData>
    <row r="1" ht="20" customHeight="1">
      <c r="A1" s="39" t="inlineStr">
        <is>
          <t>Assessment Evidence &amp; Interview Guide</t>
        </is>
      </c>
      <c r="G1" s="1" t="n"/>
      <c r="H1" s="1" t="n"/>
      <c r="I1" s="1" t="n"/>
      <c r="J1" s="1" t="n"/>
      <c r="K1" s="1" t="n"/>
      <c r="L1" s="1" t="n"/>
      <c r="M1" s="1" t="n"/>
      <c r="N1" s="1" t="n"/>
      <c r="O1" s="1" t="n"/>
      <c r="P1" s="1" t="n"/>
      <c r="Q1" s="1" t="n"/>
      <c r="R1" s="1" t="n"/>
      <c r="S1" s="1" t="n"/>
      <c r="T1" s="1" t="n"/>
      <c r="U1" s="1" t="n"/>
      <c r="V1" s="1" t="n"/>
      <c r="W1" s="1" t="n"/>
      <c r="X1" s="1" t="n"/>
      <c r="Y1" s="1" t="n"/>
      <c r="Z1" s="1" t="n"/>
    </row>
    <row r="2">
      <c r="A2" s="41" t="inlineStr">
        <is>
          <t>A sophisticated artifact or widespread AI use does not, by itself, prove mature prioritization. Appraise the operating capability and its evidence.</t>
        </is>
      </c>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47" t="inlineStr">
        <is>
          <t>Dimension</t>
        </is>
      </c>
      <c r="B4" s="47" t="inlineStr">
        <is>
          <t>Diagnostic Question</t>
        </is>
      </c>
      <c r="C4" s="47" t="inlineStr">
        <is>
          <t>Evidence to Request</t>
        </is>
      </c>
      <c r="D4" s="47" t="inlineStr">
        <is>
          <t>Lower-Maturity Signal</t>
        </is>
      </c>
      <c r="E4" s="47" t="inlineStr">
        <is>
          <t>Higher-Maturity Signal</t>
        </is>
      </c>
      <c r="F4" s="47" t="inlineStr">
        <is>
          <t>Assessment Note</t>
        </is>
      </c>
      <c r="G4" s="1" t="n"/>
      <c r="H4" s="1" t="n"/>
      <c r="I4" s="1" t="n"/>
      <c r="J4" s="1" t="n"/>
      <c r="K4" s="1" t="n"/>
      <c r="L4" s="1" t="n"/>
      <c r="M4" s="1" t="n"/>
      <c r="N4" s="1" t="n"/>
      <c r="O4" s="1" t="n"/>
      <c r="P4" s="1" t="n"/>
      <c r="Q4" s="1" t="n"/>
      <c r="R4" s="1" t="n"/>
      <c r="S4" s="1" t="n"/>
      <c r="T4" s="1" t="n"/>
      <c r="U4" s="1" t="n"/>
      <c r="V4" s="1" t="n"/>
      <c r="W4" s="1" t="n"/>
      <c r="X4" s="1" t="n"/>
      <c r="Y4" s="1" t="n"/>
      <c r="Z4" s="1" t="n"/>
    </row>
    <row r="5" ht="26" customHeight="1">
      <c r="A5" s="44" t="inlineStr">
        <is>
          <t>Value Model Coherence</t>
        </is>
      </c>
      <c r="B5" s="44" t="inlineStr">
        <is>
          <t>What distinct factors make one product investment more valuable than another?</t>
        </is>
      </c>
      <c r="C5" s="44" t="inlineStr">
        <is>
          <t>Criteria, definitions, scoring anchors, weights</t>
        </is>
      </c>
      <c r="D5" s="44" t="inlineStr">
        <is>
          <t>Priority reduces to urgency, executive preference, or persuasive narrative</t>
        </is>
      </c>
      <c r="E5" s="44" t="inlineStr">
        <is>
          <t>Distinct value and feasibility dimensions with defined scales and visible weights</t>
        </is>
      </c>
      <c r="F5" s="21" t="n"/>
      <c r="G5" s="1" t="n"/>
      <c r="H5" s="1" t="n"/>
      <c r="I5" s="1" t="n"/>
      <c r="J5" s="1" t="n"/>
      <c r="K5" s="1" t="n"/>
      <c r="L5" s="1" t="n"/>
      <c r="M5" s="1" t="n"/>
      <c r="N5" s="1" t="n"/>
      <c r="O5" s="1" t="n"/>
      <c r="P5" s="1" t="n"/>
      <c r="Q5" s="1" t="n"/>
      <c r="R5" s="1" t="n"/>
      <c r="S5" s="1" t="n"/>
      <c r="T5" s="1" t="n"/>
      <c r="U5" s="1" t="n"/>
      <c r="V5" s="1" t="n"/>
      <c r="W5" s="1" t="n"/>
      <c r="X5" s="1" t="n"/>
      <c r="Y5" s="1" t="n"/>
      <c r="Z5" s="1" t="n"/>
    </row>
    <row r="6" ht="26" customHeight="1">
      <c r="A6" s="44" t="inlineStr">
        <is>
          <t>Value Model Coherence</t>
        </is>
      </c>
      <c r="B6" s="44" t="inlineStr">
        <is>
          <t>Can AI use the model directly without a human rewriting every proposal into a fresh prompt?</t>
        </is>
      </c>
      <c r="C6" s="44" t="inlineStr">
        <is>
          <t>Structured scorecard, canonical candidate fields, criterion definitions</t>
        </is>
      </c>
      <c r="D6" s="44" t="inlineStr">
        <is>
          <t>AI use is private and prompt-dependent</t>
        </is>
      </c>
      <c r="E6" s="44" t="inlineStr">
        <is>
          <t>The governed model is machine-readable and reusable across candidates</t>
        </is>
      </c>
      <c r="F6" s="21" t="n"/>
      <c r="G6" s="1" t="n"/>
      <c r="H6" s="1" t="n"/>
      <c r="I6" s="1" t="n"/>
      <c r="J6" s="1" t="n"/>
      <c r="K6" s="1" t="n"/>
      <c r="L6" s="1" t="n"/>
      <c r="M6" s="1" t="n"/>
      <c r="N6" s="1" t="n"/>
      <c r="O6" s="1" t="n"/>
      <c r="P6" s="1" t="n"/>
      <c r="Q6" s="1" t="n"/>
      <c r="R6" s="1" t="n"/>
      <c r="S6" s="1" t="n"/>
      <c r="T6" s="1" t="n"/>
      <c r="U6" s="1" t="n"/>
      <c r="V6" s="1" t="n"/>
      <c r="W6" s="1" t="n"/>
      <c r="X6" s="1" t="n"/>
      <c r="Y6" s="1" t="n"/>
      <c r="Z6" s="1" t="n"/>
    </row>
    <row r="7" ht="26" customHeight="1">
      <c r="A7" s="44" t="inlineStr">
        <is>
          <t>Value Model Coherence</t>
        </is>
      </c>
      <c r="B7" s="44" t="inlineStr">
        <is>
          <t>Does AI assemble evidence or merely manufacture justification?</t>
        </is>
      </c>
      <c r="C7" s="44" t="inlineStr">
        <is>
          <t>Source references, provenance, assumptions, confidence notes</t>
        </is>
      </c>
      <c r="D7" s="44" t="inlineStr">
        <is>
          <t>AI-generated scores or claims appear without sources</t>
        </is>
      </c>
      <c r="E7" s="44" t="inlineStr">
        <is>
          <t>Evidence, uncertainty, and inference remain visible and separable</t>
        </is>
      </c>
      <c r="F7" s="21" t="n"/>
      <c r="G7" s="1" t="n"/>
      <c r="H7" s="1" t="n"/>
      <c r="I7" s="1" t="n"/>
      <c r="J7" s="1" t="n"/>
      <c r="K7" s="1" t="n"/>
      <c r="L7" s="1" t="n"/>
      <c r="M7" s="1" t="n"/>
      <c r="N7" s="1" t="n"/>
      <c r="O7" s="1" t="n"/>
      <c r="P7" s="1" t="n"/>
      <c r="Q7" s="1" t="n"/>
      <c r="R7" s="1" t="n"/>
      <c r="S7" s="1" t="n"/>
      <c r="T7" s="1" t="n"/>
      <c r="U7" s="1" t="n"/>
      <c r="V7" s="1" t="n"/>
      <c r="W7" s="1" t="n"/>
      <c r="X7" s="1" t="n"/>
      <c r="Y7" s="1" t="n"/>
      <c r="Z7" s="1" t="n"/>
    </row>
    <row r="8" ht="26" customHeight="1">
      <c r="A8" s="44" t="inlineStr">
        <is>
          <t>Value Model Coherence</t>
        </is>
      </c>
      <c r="B8" s="44" t="inlineStr">
        <is>
          <t>Can the organization explain why the ranking changes?</t>
        </is>
      </c>
      <c r="C8" s="44" t="inlineStr">
        <is>
          <t>Sensitivity analysis, alternate weighting scenarios, version history</t>
        </is>
      </c>
      <c r="D8" s="44" t="inlineStr">
        <is>
          <t>Weights change informally or to produce a preferred answer</t>
        </is>
      </c>
      <c r="E8" s="44" t="inlineStr">
        <is>
          <t>AI-supported scenarios remain explainable, governed, and historically reconstructable</t>
        </is>
      </c>
      <c r="F8" s="21" t="n"/>
      <c r="G8" s="1" t="n"/>
      <c r="H8" s="1" t="n"/>
      <c r="I8" s="1" t="n"/>
      <c r="J8" s="1" t="n"/>
      <c r="K8" s="1" t="n"/>
      <c r="L8" s="1" t="n"/>
      <c r="M8" s="1" t="n"/>
      <c r="N8" s="1" t="n"/>
      <c r="O8" s="1" t="n"/>
      <c r="P8" s="1" t="n"/>
      <c r="Q8" s="1" t="n"/>
      <c r="R8" s="1" t="n"/>
      <c r="S8" s="1" t="n"/>
      <c r="T8" s="1" t="n"/>
      <c r="U8" s="1" t="n"/>
      <c r="V8" s="1" t="n"/>
      <c r="W8" s="1" t="n"/>
      <c r="X8" s="1" t="n"/>
      <c r="Y8" s="1" t="n"/>
      <c r="Z8" s="1" t="n"/>
    </row>
    <row r="9" ht="26" customHeight="1">
      <c r="A9" s="44" t="inlineStr">
        <is>
          <t>Value Model Coherence</t>
        </is>
      </c>
      <c r="B9" s="44" t="inlineStr">
        <is>
          <t>Does the model learn without silently redefining value?</t>
        </is>
      </c>
      <c r="C9" s="44" t="inlineStr">
        <is>
          <t>Outcome calibration, model-change proposals, approval record</t>
        </is>
      </c>
      <c r="D9" s="44" t="inlineStr">
        <is>
          <t>Automation or recency alters criteria implicitly</t>
        </is>
      </c>
      <c r="E9" s="44" t="inlineStr">
        <is>
          <t>AI proposes model changes; humans authorize them through visible governance</t>
        </is>
      </c>
      <c r="F9" s="21" t="n"/>
      <c r="G9" s="1" t="n"/>
      <c r="H9" s="1" t="n"/>
      <c r="I9" s="1" t="n"/>
      <c r="J9" s="1" t="n"/>
      <c r="K9" s="1" t="n"/>
      <c r="L9" s="1" t="n"/>
      <c r="M9" s="1" t="n"/>
      <c r="N9" s="1" t="n"/>
      <c r="O9" s="1" t="n"/>
      <c r="P9" s="1" t="n"/>
      <c r="Q9" s="1" t="n"/>
      <c r="R9" s="1" t="n"/>
      <c r="S9" s="1" t="n"/>
      <c r="T9" s="1" t="n"/>
      <c r="U9" s="1" t="n"/>
      <c r="V9" s="1" t="n"/>
      <c r="W9" s="1" t="n"/>
      <c r="X9" s="1" t="n"/>
      <c r="Y9" s="1" t="n"/>
      <c r="Z9" s="1" t="n"/>
    </row>
    <row r="10" ht="26" customHeight="1">
      <c r="A10" s="44" t="inlineStr">
        <is>
          <t>Decision Governance &amp; Portfolio Integration</t>
        </is>
      </c>
      <c r="B10" s="44" t="inlineStr">
        <is>
          <t>Who proposes, challenges, decides, commits, and records?</t>
        </is>
      </c>
      <c r="C10" s="44" t="inlineStr">
        <is>
          <t>Decision rights, forum charter, exception path</t>
        </is>
      </c>
      <c r="D10" s="44" t="inlineStr">
        <is>
          <t>Authority changes by personality or meeting attendance</t>
        </is>
      </c>
      <c r="E10" s="44" t="inlineStr">
        <is>
          <t>Distinct human and AI roles with explicit limits and escalation</t>
        </is>
      </c>
      <c r="F10" s="2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6" customHeight="1">
      <c r="A11" s="44" t="inlineStr">
        <is>
          <t>Decision Governance &amp; Portfolio Integration</t>
        </is>
      </c>
      <c r="B11" s="44" t="inlineStr">
        <is>
          <t>What constrains a ranked list before it becomes a roadmap?</t>
        </is>
      </c>
      <c r="C11" s="44" t="inlineStr">
        <is>
          <t>Capacity plan, funding view, dependency map, sequencing constraints</t>
        </is>
      </c>
      <c r="D11" s="44" t="inlineStr">
        <is>
          <t>Ranking ignores constraints until delivery starts</t>
        </is>
      </c>
      <c r="E11" s="44" t="inlineStr">
        <is>
          <t>Funding, capacity, dependency, and sequencing shape the decision before commitment</t>
        </is>
      </c>
      <c r="F11" s="2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6" customHeight="1">
      <c r="A12" s="44" t="inlineStr">
        <is>
          <t>Decision Governance &amp; Portfolio Integration</t>
        </is>
      </c>
      <c r="B12" s="44" t="inlineStr">
        <is>
          <t>Can AI see cross-functional displacement and second-order effects?</t>
        </is>
      </c>
      <c r="C12" s="44" t="inlineStr">
        <is>
          <t>Integrated portfolio scenarios, architecture and financial relationships</t>
        </is>
      </c>
      <c r="D12" s="44" t="inlineStr">
        <is>
          <t>AI summarizes proposals in isolation</t>
        </is>
      </c>
      <c r="E12" s="44" t="inlineStr">
        <is>
          <t>AI traverses governed portfolio context and exposes what is displaced or made riskier</t>
        </is>
      </c>
      <c r="F12" s="2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6" customHeight="1">
      <c r="A13" s="44" t="inlineStr">
        <is>
          <t>Decision Governance &amp; Portfolio Integration</t>
        </is>
      </c>
      <c r="B13" s="44" t="inlineStr">
        <is>
          <t>Are overrides and delegated actions visible?</t>
        </is>
      </c>
      <c r="C13" s="44" t="inlineStr">
        <is>
          <t>Exception log, bounded-authority rules, decision records</t>
        </is>
      </c>
      <c r="D13" s="44" t="inlineStr">
        <is>
          <t>Executives or agents act outside the model without traceability</t>
        </is>
      </c>
      <c r="E13" s="44" t="inlineStr">
        <is>
          <t>Every exception or delegated action names authority, rationale, scope, and consequence</t>
        </is>
      </c>
      <c r="F13" s="2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6" customHeight="1">
      <c r="A14" s="44" t="inlineStr">
        <is>
          <t>Decision Governance &amp; Portfolio Integration</t>
        </is>
      </c>
      <c r="B14" s="44" t="inlineStr">
        <is>
          <t>Can material evidence trigger reconsideration without a political reset?</t>
        </is>
      </c>
      <c r="C14" s="44" t="inlineStr">
        <is>
          <t>Event-driven reviews, pause/stop/accelerate records</t>
        </is>
      </c>
      <c r="D14" s="44" t="inlineStr">
        <is>
          <t>Change requires a new crisis or executive intervention</t>
        </is>
      </c>
      <c r="E14" s="44" t="inlineStr">
        <is>
          <t>AI maintains decision-ready scenarios and initiates the governed review path</t>
        </is>
      </c>
      <c r="F14" s="2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6" customHeight="1">
      <c r="A15" s="44" t="inlineStr">
        <is>
          <t>Outcome Calibration &amp; Adaptation</t>
        </is>
      </c>
      <c r="B15" s="44" t="inlineStr">
        <is>
          <t>Were the value hypothesis and originating intent preserved before commitment?</t>
        </is>
      </c>
      <c r="C15" s="44" t="inlineStr">
        <is>
          <t>Decision record, hypothesis, originating-intent or strategy reference, measures, owner, review date</t>
        </is>
      </c>
      <c r="D15" s="44" t="inlineStr">
        <is>
          <t>Success is defined after delivery</t>
        </is>
      </c>
      <c r="E15" s="44" t="inlineStr">
        <is>
          <t>The decision can be traced from intent through hypothesis, commitment, and outcome</t>
        </is>
      </c>
      <c r="F15" s="2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6" customHeight="1">
      <c r="A16" s="44" t="inlineStr">
        <is>
          <t>Outcome Calibration &amp; Adaptation</t>
        </is>
      </c>
      <c r="B16" s="44" t="inlineStr">
        <is>
          <t>Can AI connect realized evidence to the original decision without blurring fact and inference?</t>
        </is>
      </c>
      <c r="C16" s="44" t="inlineStr">
        <is>
          <t>Evidence package, telemetry, source links, inference labels</t>
        </is>
      </c>
      <c r="D16" s="44" t="inlineStr">
        <is>
          <t>Post-hoc narrative substitutes for comparison</t>
        </is>
      </c>
      <c r="E16" s="44" t="inlineStr">
        <is>
          <t>Verified evidence, reported information, assumptions, and inference remain distinct</t>
        </is>
      </c>
      <c r="F16" s="2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6" customHeight="1">
      <c r="A17" s="44" t="inlineStr">
        <is>
          <t>Outcome Calibration &amp; Adaptation</t>
        </is>
      </c>
      <c r="B17" s="44" t="inlineStr">
        <is>
          <t>Can the organization identify systematic bias?</t>
        </is>
      </c>
      <c r="C17" s="44" t="inlineStr">
        <is>
          <t>Bias analysis by criterion, team, product area, and investment class</t>
        </is>
      </c>
      <c r="D17" s="44" t="inlineStr">
        <is>
          <t>Repeated optimism or underestimation remains anecdotal</t>
        </is>
      </c>
      <c r="E17" s="44" t="inlineStr">
        <is>
          <t>Known bias changes anchors, confidence, weights, or governance</t>
        </is>
      </c>
      <c r="F17" s="2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6" customHeight="1">
      <c r="A18" s="44" t="inlineStr">
        <is>
          <t>Outcome Calibration &amp; Adaptation</t>
        </is>
      </c>
      <c r="B18" s="44" t="inlineStr">
        <is>
          <t>Can evidence change investment while work is in flight?</t>
        </is>
      </c>
      <c r="C18" s="44" t="inlineStr">
        <is>
          <t>Stage reviews, continue/pause/stop decisions, portfolio revisions</t>
        </is>
      </c>
      <c r="D18" s="44" t="inlineStr">
        <is>
          <t>Once funded, work is effectively irreversible</t>
        </is>
      </c>
      <c r="E18" s="44" t="inlineStr">
        <is>
          <t>Signals can redirect investment while preserving decision lineage</t>
        </is>
      </c>
      <c r="F18" s="21" t="n"/>
      <c r="G18" s="1" t="n"/>
      <c r="H18" s="1" t="n"/>
      <c r="I18" s="1" t="n"/>
      <c r="J18" s="1" t="n"/>
      <c r="K18" s="1" t="n"/>
      <c r="L18" s="1" t="n"/>
      <c r="M18" s="1" t="n"/>
      <c r="N18" s="1" t="n"/>
      <c r="O18" s="1" t="n"/>
      <c r="P18" s="1" t="n"/>
      <c r="Q18" s="1" t="n"/>
      <c r="R18" s="1" t="n"/>
      <c r="S18" s="1" t="n"/>
      <c r="T18" s="1" t="n"/>
      <c r="U18" s="1" t="n"/>
      <c r="V18" s="1" t="n"/>
      <c r="W18" s="1" t="n"/>
      <c r="X18" s="1" t="n"/>
      <c r="Y18" s="1" t="n"/>
      <c r="Z18" s="1" t="n"/>
    </row>
    <row r="19" ht="26" customHeight="1">
      <c r="A19" s="44" t="inlineStr">
        <is>
          <t>Outcome Calibration &amp; Adaptation</t>
        </is>
      </c>
      <c r="B19" s="44" t="inlineStr">
        <is>
          <t>Can the system distinguish execution failure, forecast error, model error, and possible intent failure?</t>
        </is>
      </c>
      <c r="C19" s="44" t="inlineStr">
        <is>
          <t>Failure classification, correction records, authority routing</t>
        </is>
      </c>
      <c r="D19" s="44" t="inlineStr">
        <is>
          <t>Every miss is blamed on execution or treated as an isolated incident</t>
        </is>
      </c>
      <c r="E19" s="44" t="inlineStr">
        <is>
          <t>Each failure class is routed to the proper correction path, including reconsideration of enterprise intent when warranted</t>
        </is>
      </c>
      <c r="F19" s="2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
  <cols>
    <col width="10" customWidth="1" min="1" max="2"/>
    <col width="18" customWidth="1" min="3" max="3"/>
    <col width="58" customWidth="1" min="4" max="4"/>
    <col width="12" customWidth="1" min="6" max="6"/>
    <col width="10" customWidth="1" min="7" max="7"/>
    <col width="36" customWidth="1" min="8" max="8"/>
    <col width="14" customWidth="1" min="9" max="10"/>
    <col width="66" customWidth="1" min="11" max="11"/>
    <col width="44" customWidth="1" min="12" max="12"/>
    <col width="49" customWidth="1" min="13" max="13"/>
  </cols>
  <sheetData>
    <row r="1" ht="26" customHeight="1">
      <c r="A1" s="47" t="inlineStr">
        <is>
          <t>Grade</t>
        </is>
      </c>
      <c r="B1" s="47" t="inlineStr">
        <is>
          <t>Score</t>
        </is>
      </c>
      <c r="C1" s="47" t="inlineStr">
        <is>
          <t>Common Orientation</t>
        </is>
      </c>
      <c r="D1" s="47" t="inlineStr">
        <is>
          <t>Cross-model Meaning</t>
        </is>
      </c>
      <c r="E1" s="1" t="n"/>
      <c r="F1" s="47" t="inlineStr">
        <is>
          <t>Lookup Key</t>
        </is>
      </c>
      <c r="G1" s="47" t="inlineStr">
        <is>
          <t>Dimension ID</t>
        </is>
      </c>
      <c r="H1" s="47" t="inlineStr">
        <is>
          <t>Dimension</t>
        </is>
      </c>
      <c r="I1" s="47" t="inlineStr">
        <is>
          <t>Grade</t>
        </is>
      </c>
      <c r="J1" s="47" t="inlineStr">
        <is>
          <t>Level Name</t>
        </is>
      </c>
      <c r="K1" s="47" t="inlineStr">
        <is>
          <t>Maturity Definition</t>
        </is>
      </c>
      <c r="L1" s="47" t="inlineStr">
        <is>
          <t>Indicative Evidence</t>
        </is>
      </c>
      <c r="M1" s="47" t="inlineStr">
        <is>
          <t>Transition to Next Level</t>
        </is>
      </c>
      <c r="N1" s="1" t="n"/>
      <c r="O1" s="1" t="n"/>
      <c r="P1" s="1" t="n"/>
      <c r="Q1" s="1" t="n"/>
      <c r="R1" s="1" t="n"/>
      <c r="S1" s="1" t="n"/>
      <c r="T1" s="1" t="n"/>
      <c r="U1" s="1" t="n"/>
      <c r="V1" s="1" t="n"/>
      <c r="W1" s="1" t="n"/>
      <c r="X1" s="1" t="n"/>
      <c r="Y1" s="1" t="n"/>
      <c r="Z1" s="1" t="n"/>
    </row>
    <row r="2" ht="52" customHeight="1">
      <c r="A2" s="44" t="inlineStr">
        <is>
          <t>A</t>
        </is>
      </c>
      <c r="B2" s="44" t="n">
        <v>1</v>
      </c>
      <c r="C2" s="44" t="inlineStr">
        <is>
          <t>Nascent</t>
        </is>
      </c>
      <c r="D2" s="44" t="inlineStr">
        <is>
          <t>The capability is mostly implicit, local, or personality-driven.</t>
        </is>
      </c>
      <c r="E2" s="1" t="n"/>
      <c r="F2" s="44" t="inlineStr">
        <is>
          <t>D1|A</t>
        </is>
      </c>
      <c r="G2" s="44" t="inlineStr">
        <is>
          <t>D1</t>
        </is>
      </c>
      <c r="H2" s="44" t="inlineStr">
        <is>
          <t>Value Model Coherence</t>
        </is>
      </c>
      <c r="I2" s="44" t="inlineStr">
        <is>
          <t>A</t>
        </is>
      </c>
      <c r="J2" s="44" t="inlineStr">
        <is>
          <t>Ad hoc advocacy</t>
        </is>
      </c>
      <c r="K2" s="44" t="inlineStr">
        <is>
          <t>Priority is determined mainly by advocacy, urgency, executive request, anecdote, or estimated effort. Individuals may use AI privately to draft business cases or make a preferred item sound more compelling, but there is no stable value model against which the output can be tested.</t>
        </is>
      </c>
      <c r="L2" s="44" t="inlineStr">
        <is>
          <t>Roadmaps built from requests; inconsistent rationale; private AI-generated business cases; value and effort discussed as one undifferentiated judgment.</t>
        </is>
      </c>
      <c r="M2" s="44" t="inlineStr">
        <is>
          <t>Name a small common set of criteria, separate value from implementation difficulty, and require the same logic for every candidate.</t>
        </is>
      </c>
      <c r="N2" s="1" t="n"/>
      <c r="O2" s="1" t="n"/>
      <c r="P2" s="1" t="n"/>
      <c r="Q2" s="1" t="n"/>
      <c r="R2" s="1" t="n"/>
      <c r="S2" s="1" t="n"/>
      <c r="T2" s="1" t="n"/>
      <c r="U2" s="1" t="n"/>
      <c r="V2" s="1" t="n"/>
      <c r="W2" s="1" t="n"/>
      <c r="X2" s="1" t="n"/>
      <c r="Y2" s="1" t="n"/>
      <c r="Z2" s="1" t="n"/>
    </row>
    <row r="3" ht="52" customHeight="1">
      <c r="A3" s="44" t="inlineStr">
        <is>
          <t>B</t>
        </is>
      </c>
      <c r="B3" s="44" t="n">
        <v>2</v>
      </c>
      <c r="C3" s="44" t="inlineStr">
        <is>
          <t>Modeled</t>
        </is>
      </c>
      <c r="D3" s="44" t="inlineStr">
        <is>
          <t>A repeatable method exists, with selective AI assistance and uneven governance.</t>
        </is>
      </c>
      <c r="E3" s="1" t="n"/>
      <c r="F3" s="44" t="inlineStr">
        <is>
          <t>D1|B</t>
        </is>
      </c>
      <c r="G3" s="44" t="inlineStr">
        <is>
          <t>D1</t>
        </is>
      </c>
      <c r="H3" s="44" t="inlineStr">
        <is>
          <t>Value Model Coherence</t>
        </is>
      </c>
      <c r="I3" s="44" t="inlineStr">
        <is>
          <t>B</t>
        </is>
      </c>
      <c r="J3" s="44" t="inlineStr">
        <is>
          <t>Assisted basic scoring</t>
        </is>
      </c>
      <c r="K3" s="44" t="inlineStr">
        <is>
          <t>A common prioritization method is used—such as value-versus-effort, RICE, MoSCoW, or a simple weighted score. AI may summarize proposals, normalize submissions, or collect preliminary evidence, but criteria remain generic, scoring anchors are weak, and humans manually translate AI output into the model.</t>
        </is>
      </c>
      <c r="L3" s="44" t="inlineStr">
        <is>
          <t>Reusable scorecard; simple ranking; AI-assisted proposal summaries; shared criteria with limited definitions; workshop-dependent interpretation.</t>
        </is>
      </c>
      <c r="M3" s="44" t="inlineStr">
        <is>
          <t>Define dimension-specific criteria and scoring anchors, state the evidence expected for material scores, and preserve source provenance.</t>
        </is>
      </c>
      <c r="N3" s="1" t="n"/>
      <c r="O3" s="1" t="n"/>
      <c r="P3" s="1" t="n"/>
      <c r="Q3" s="1" t="n"/>
      <c r="R3" s="1" t="n"/>
      <c r="S3" s="1" t="n"/>
      <c r="T3" s="1" t="n"/>
      <c r="U3" s="1" t="n"/>
      <c r="V3" s="1" t="n"/>
      <c r="W3" s="1" t="n"/>
      <c r="X3" s="1" t="n"/>
      <c r="Y3" s="1" t="n"/>
      <c r="Z3" s="1" t="n"/>
    </row>
    <row r="4" ht="65" customHeight="1">
      <c r="A4" s="44" t="inlineStr">
        <is>
          <t>C</t>
        </is>
      </c>
      <c r="B4" s="44" t="n">
        <v>3</v>
      </c>
      <c r="C4" s="44" t="inlineStr">
        <is>
          <t>Continuous</t>
        </is>
      </c>
      <c r="D4" s="44" t="inlineStr">
        <is>
          <t>The capability is explicit, shared, traceable, and usable by governed human and AI participants.</t>
        </is>
      </c>
      <c r="E4" s="1" t="n"/>
      <c r="F4" s="44" t="inlineStr">
        <is>
          <t>D1|C</t>
        </is>
      </c>
      <c r="G4" s="44" t="inlineStr">
        <is>
          <t>D1</t>
        </is>
      </c>
      <c r="H4" s="44" t="inlineStr">
        <is>
          <t>Value Model Coherence</t>
        </is>
      </c>
      <c r="I4" s="44" t="inlineStr">
        <is>
          <t>C</t>
        </is>
      </c>
      <c r="J4" s="44" t="inlineStr">
        <is>
          <t>Structured value model</t>
        </is>
      </c>
      <c r="K4" s="44" t="inlineStr">
        <is>
          <t>The organization uses a shared product-value model with distinct scoring dimensions, defined scales, and explicit separation of business value from implementation difficulty. The model is structured enough that AI can map proposals to criteria, assemble cited evidence, identify missing inputs, and flag inconsistent scoring. Humans retain responsibility for weights and final value judgment.</t>
        </is>
      </c>
      <c r="L4" s="44" t="inlineStr">
        <is>
          <t>Defined scales and weights; separate business-value and implementation factors; machine-readable scoring structure; cited evidence; AI-flagged gaps or inconsistencies.</t>
        </is>
      </c>
      <c r="M4" s="44" t="inlineStr">
        <is>
          <t>Assign formal ownership, version the model, test criteria for overlap or double-counting, and make assumptions, confidence, and exceptions visible.</t>
        </is>
      </c>
      <c r="N4" s="1" t="n"/>
      <c r="O4" s="1" t="n"/>
      <c r="P4" s="1" t="n"/>
      <c r="Q4" s="1" t="n"/>
      <c r="R4" s="1" t="n"/>
      <c r="S4" s="1" t="n"/>
      <c r="T4" s="1" t="n"/>
      <c r="U4" s="1" t="n"/>
      <c r="V4" s="1" t="n"/>
      <c r="W4" s="1" t="n"/>
      <c r="X4" s="1" t="n"/>
      <c r="Y4" s="1" t="n"/>
      <c r="Z4" s="1" t="n"/>
    </row>
    <row r="5" ht="65" customHeight="1">
      <c r="A5" s="44" t="inlineStr">
        <is>
          <t>D</t>
        </is>
      </c>
      <c r="B5" s="44" t="n">
        <v>4</v>
      </c>
      <c r="C5" s="44" t="inlineStr">
        <is>
          <t>Integral</t>
        </is>
      </c>
      <c r="D5" s="44" t="inlineStr">
        <is>
          <t>The capability is governed, empirically challenged, and connected across portfolio and outcome systems.</t>
        </is>
      </c>
      <c r="E5" s="1" t="n"/>
      <c r="F5" s="44" t="inlineStr">
        <is>
          <t>D1|D</t>
        </is>
      </c>
      <c r="G5" s="44" t="inlineStr">
        <is>
          <t>D1</t>
        </is>
      </c>
      <c r="H5" s="44" t="inlineStr">
        <is>
          <t>Value Model Coherence</t>
        </is>
      </c>
      <c r="I5" s="44" t="inlineStr">
        <is>
          <t>D</t>
        </is>
      </c>
      <c r="J5" s="44" t="inlineStr">
        <is>
          <t>Governed strategic analysis</t>
        </is>
      </c>
      <c r="K5" s="44" t="inlineStr">
        <is>
          <t>The value model is formally owned, versioned, and tied to current strategy and portfolio context. AI performs scenario and sensitivity analysis, challenges unsupported assumptions, detects likely double-counting or scoring drift, and explains why rankings change. The model, weights, evidence standards, and decision authority remain human-governed.</t>
        </is>
      </c>
      <c r="L5" s="44" t="inlineStr">
        <is>
          <t>Model owner; version history; criterion provenance; AI-supported sensitivity analysis; confidence notes; scoring-drift review; documented exceptions.</t>
        </is>
      </c>
      <c r="M5" s="44" t="inlineStr">
        <is>
          <t>Connect the value model to realized outcomes so evidence can recalibrate scoring anchors, weights, and strategic assumptions.</t>
        </is>
      </c>
      <c r="N5" s="1" t="n"/>
      <c r="O5" s="1" t="n"/>
      <c r="P5" s="1" t="n"/>
      <c r="Q5" s="1" t="n"/>
      <c r="R5" s="1" t="n"/>
      <c r="S5" s="1" t="n"/>
      <c r="T5" s="1" t="n"/>
      <c r="U5" s="1" t="n"/>
      <c r="V5" s="1" t="n"/>
      <c r="W5" s="1" t="n"/>
      <c r="X5" s="1" t="n"/>
      <c r="Y5" s="1" t="n"/>
      <c r="Z5" s="1" t="n"/>
    </row>
    <row r="6" ht="91" customHeight="1">
      <c r="A6" s="44" t="inlineStr">
        <is>
          <t>E</t>
        </is>
      </c>
      <c r="B6" s="44" t="n">
        <v>5</v>
      </c>
      <c r="C6" s="44" t="inlineStr">
        <is>
          <t>Telemetric</t>
        </is>
      </c>
      <c r="D6" s="44" t="inlineStr">
        <is>
          <t>The capability operates as a durable learning system that can reconsider models, decisions, and intent through proper authority.</t>
        </is>
      </c>
      <c r="E6" s="1" t="n"/>
      <c r="F6" s="44" t="inlineStr">
        <is>
          <t>D1|E</t>
        </is>
      </c>
      <c r="G6" s="44" t="inlineStr">
        <is>
          <t>D1</t>
        </is>
      </c>
      <c r="H6" s="44" t="inlineStr">
        <is>
          <t>Value Model Coherence</t>
        </is>
      </c>
      <c r="I6" s="44" t="inlineStr">
        <is>
          <t>E</t>
        </is>
      </c>
      <c r="J6" s="44" t="inlineStr">
        <is>
          <t>Adaptive strategic value system</t>
        </is>
      </c>
      <c r="K6" s="44" t="inlineStr">
        <is>
          <t>A multi-factor strategic value system—of the kind represented by the Strategic Value Matrix—balances revenue magnitude and velocity, strategic alignment, market and customer fit, architecture, implementation size, technical-debt reduction, and delivery risk through explicit scales and weights. AI continuously refreshes relevant evidence, detects model or strategy drift, and proposes changes to criteria, anchors, or weights. Every change remains explainable, versioned, and human-authorized, and the organization can reconstruct why one item outranked another at any point in time.</t>
        </is>
      </c>
      <c r="L6" s="44" t="inlineStr">
        <is>
          <t>Governed strategic value matrix; transparent positive and negative drivers; continuously refreshed evidence; explainable scenarios; model-drift detection; preserved decision history.</t>
        </is>
      </c>
      <c r="M6" s="44" t="inlineStr">
        <is>
          <t>Sustain empirical and strategic integrity: verify that evidence refresh improves the model without allowing automation, recency, or persuasive inference to redefine value silently.</t>
        </is>
      </c>
      <c r="N6" s="1" t="n"/>
      <c r="O6" s="1" t="n"/>
      <c r="P6" s="1" t="n"/>
      <c r="Q6" s="1" t="n"/>
      <c r="R6" s="1" t="n"/>
      <c r="S6" s="1" t="n"/>
      <c r="T6" s="1" t="n"/>
      <c r="U6" s="1" t="n"/>
      <c r="V6" s="1" t="n"/>
      <c r="W6" s="1" t="n"/>
      <c r="X6" s="1" t="n"/>
      <c r="Y6" s="1" t="n"/>
      <c r="Z6" s="1" t="n"/>
    </row>
    <row r="7" ht="65" customHeight="1">
      <c r="A7" s="1" t="n"/>
      <c r="B7" s="1" t="n"/>
      <c r="C7" s="1" t="n"/>
      <c r="D7" s="1" t="n"/>
      <c r="E7" s="1" t="n"/>
      <c r="F7" s="44" t="inlineStr">
        <is>
          <t>D2|A</t>
        </is>
      </c>
      <c r="G7" s="44" t="inlineStr">
        <is>
          <t>D2</t>
        </is>
      </c>
      <c r="H7" s="44" t="inlineStr">
        <is>
          <t>Decision Governance &amp; Portfolio Integration</t>
        </is>
      </c>
      <c r="I7" s="44" t="inlineStr">
        <is>
          <t>A</t>
        </is>
      </c>
      <c r="J7" s="44" t="inlineStr">
        <is>
          <t>Personal authority</t>
        </is>
      </c>
      <c r="K7" s="44" t="inlineStr">
        <is>
          <t>Prioritization is a series of local decisions made by the loudest stakeholder, highest-ranking executive, or most urgent customer request. AI may be used privately to strengthen advocacy, but its evidence, reasoning, and influence are invisible. There is no stable decision forum, no visible displacement of other work, and little distinction between recommending, approving, and committing.</t>
        </is>
      </c>
      <c r="L7" s="44" t="inlineStr">
        <is>
          <t>Unrecorded overrides; backlog churn; private AI-generated narratives; urgent work inserted without explicit trade-off; no portfolio-level decision record.</t>
        </is>
      </c>
      <c r="M7" s="44" t="inlineStr">
        <is>
          <t>Create a recurring decision forum and name who proposes, challenges, decides, records, and commits the outcome.</t>
        </is>
      </c>
      <c r="N7" s="1" t="n"/>
      <c r="O7" s="1" t="n"/>
      <c r="P7" s="1" t="n"/>
      <c r="Q7" s="1" t="n"/>
      <c r="R7" s="1" t="n"/>
      <c r="S7" s="1" t="n"/>
      <c r="T7" s="1" t="n"/>
      <c r="U7" s="1" t="n"/>
      <c r="V7" s="1" t="n"/>
      <c r="W7" s="1" t="n"/>
      <c r="X7" s="1" t="n"/>
      <c r="Y7" s="1" t="n"/>
      <c r="Z7" s="1" t="n"/>
    </row>
    <row r="8" ht="65" customHeight="1">
      <c r="A8" s="1" t="n"/>
      <c r="B8" s="1" t="n"/>
      <c r="C8" s="1" t="n"/>
      <c r="D8" s="1" t="n"/>
      <c r="E8" s="1" t="n"/>
      <c r="F8" s="44" t="inlineStr">
        <is>
          <t>D2|B</t>
        </is>
      </c>
      <c r="G8" s="44" t="inlineStr">
        <is>
          <t>D2</t>
        </is>
      </c>
      <c r="H8" s="44" t="inlineStr">
        <is>
          <t>Decision Governance &amp; Portfolio Integration</t>
        </is>
      </c>
      <c r="I8" s="44" t="inlineStr">
        <is>
          <t>B</t>
        </is>
      </c>
      <c r="J8" s="44" t="inlineStr">
        <is>
          <t>AI-assisted facilitation</t>
        </is>
      </c>
      <c r="K8" s="44" t="inlineStr">
        <is>
          <t>A scorecard or ranking is used in recurring prioritization meetings, and decisions are documented. AI may prepare summaries, compare proposals, expose obvious conflicts, or record rationale, but it has no governed role and lacks complete access to capacity, funding, dependencies, sequencing, and portfolio context. Executives may still override the result without a standard exception path.</t>
        </is>
      </c>
      <c r="L8" s="44" t="inlineStr">
        <is>
          <t>Recurring workshop; ranked list; AI-generated meeting preparation; documented decisions; limited constraint analysis; informal overrides.</t>
        </is>
      </c>
      <c r="M8" s="44" t="inlineStr">
        <is>
          <t>Define decision rights, an exception path, the portfolio constraints that must be applied, and the specific AI role in evidence assembly and analysis.</t>
        </is>
      </c>
      <c r="N8" s="1" t="n"/>
      <c r="O8" s="1" t="n"/>
      <c r="P8" s="1" t="n"/>
      <c r="Q8" s="1" t="n"/>
      <c r="R8" s="1" t="n"/>
      <c r="S8" s="1" t="n"/>
      <c r="T8" s="1" t="n"/>
      <c r="U8" s="1" t="n"/>
      <c r="V8" s="1" t="n"/>
      <c r="W8" s="1" t="n"/>
      <c r="X8" s="1" t="n"/>
      <c r="Y8" s="1" t="n"/>
      <c r="Z8" s="1" t="n"/>
    </row>
    <row r="9" ht="78" customHeight="1">
      <c r="A9" s="1" t="n"/>
      <c r="B9" s="1" t="n"/>
      <c r="C9" s="1" t="n"/>
      <c r="D9" s="1" t="n"/>
      <c r="E9" s="1" t="n"/>
      <c r="F9" s="44" t="inlineStr">
        <is>
          <t>D2|C</t>
        </is>
      </c>
      <c r="G9" s="44" t="inlineStr">
        <is>
          <t>D2</t>
        </is>
      </c>
      <c r="H9" s="44" t="inlineStr">
        <is>
          <t>Decision Governance &amp; Portfolio Integration</t>
        </is>
      </c>
      <c r="I9" s="44" t="inlineStr">
        <is>
          <t>C</t>
        </is>
      </c>
      <c r="J9" s="44" t="inlineStr">
        <is>
          <t>Governed portfolio decisions</t>
        </is>
      </c>
      <c r="K9" s="44" t="inlineStr">
        <is>
          <t>Scoring, challenge, approval, exception, and commitment are distinct and traceable. AI roles and limits are explicit: AI assembles evidence, checks candidate completeness, verifies dependencies and capacity constraints, and records provenance; named humans make consequential decisions. Funding, sequencing, risk, and portfolio balance constrain the ranked list, and the result directly governs committed work within a portfolio.</t>
        </is>
      </c>
      <c r="L9" s="44" t="inlineStr">
        <is>
          <t>Decision log; named authorities; governed AI role; evidence provenance; capacity plan; dependency view; exception record; roadmap traceability.</t>
        </is>
      </c>
      <c r="M9" s="44" t="inlineStr">
        <is>
          <t>Extend the same decision system across Product, Engineering, Architecture, Finance, and go-to-market portfolios, with common scenario semantics.</t>
        </is>
      </c>
      <c r="N9" s="1" t="n"/>
      <c r="O9" s="1" t="n"/>
      <c r="P9" s="1" t="n"/>
      <c r="Q9" s="1" t="n"/>
      <c r="R9" s="1" t="n"/>
      <c r="S9" s="1" t="n"/>
      <c r="T9" s="1" t="n"/>
      <c r="U9" s="1" t="n"/>
      <c r="V9" s="1" t="n"/>
      <c r="W9" s="1" t="n"/>
      <c r="X9" s="1" t="n"/>
      <c r="Y9" s="1" t="n"/>
      <c r="Z9" s="1" t="n"/>
    </row>
    <row r="10" ht="78" customHeight="1">
      <c r="A10" s="1" t="n"/>
      <c r="B10" s="1" t="n"/>
      <c r="C10" s="1" t="n"/>
      <c r="D10" s="1" t="n"/>
      <c r="E10" s="1" t="n"/>
      <c r="F10" s="44" t="inlineStr">
        <is>
          <t>D2|D</t>
        </is>
      </c>
      <c r="G10" s="44" t="inlineStr">
        <is>
          <t>D2</t>
        </is>
      </c>
      <c r="H10" s="44" t="inlineStr">
        <is>
          <t>Decision Governance &amp; Portfolio Integration</t>
        </is>
      </c>
      <c r="I10" s="44" t="inlineStr">
        <is>
          <t>D</t>
        </is>
      </c>
      <c r="J10" s="44" t="inlineStr">
        <is>
          <t>Enterprise portfolio reasoning</t>
        </is>
      </c>
      <c r="K10" s="44" t="inlineStr">
        <is>
          <t>A shared prioritization system operates across functions and product areas. AI traverses product, engineering, architecture, finance, customer, and go-to-market evidence to model displacement and second-order effects. Independent analysis can challenge the originating proposal and show what is delayed, unfunded, or made riskier when one investment advances. Humans govern the scenarios, thresholds, and final commitments.</t>
        </is>
      </c>
      <c r="L10" s="44" t="inlineStr">
        <is>
          <t>Cross-portfolio scenarios; integrated funding and capacity views; AI-supported displacement analysis; independent challenge; architecture and dependency impacts.</t>
        </is>
      </c>
      <c r="M10" s="44" t="inlineStr">
        <is>
          <t>Reduce the latency between material evidence changes and governed reconsideration while preserving authority, evidence, and exception discipline.</t>
        </is>
      </c>
      <c r="N10" s="1" t="n"/>
      <c r="O10" s="1" t="n"/>
      <c r="P10" s="1" t="n"/>
      <c r="Q10" s="1" t="n"/>
      <c r="R10" s="1" t="n"/>
      <c r="S10" s="1" t="n"/>
      <c r="T10" s="1" t="n"/>
      <c r="U10" s="1" t="n"/>
      <c r="V10" s="1" t="n"/>
      <c r="W10" s="1" t="n"/>
      <c r="X10" s="1" t="n"/>
      <c r="Y10" s="1" t="n"/>
      <c r="Z10" s="1" t="n"/>
    </row>
    <row r="11" ht="91" customHeight="1">
      <c r="A11" s="1" t="n"/>
      <c r="B11" s="1" t="n"/>
      <c r="C11" s="1" t="n"/>
      <c r="D11" s="1" t="n"/>
      <c r="E11" s="1" t="n"/>
      <c r="F11" s="44" t="inlineStr">
        <is>
          <t>D2|E</t>
        </is>
      </c>
      <c r="G11" s="44" t="inlineStr">
        <is>
          <t>D2</t>
        </is>
      </c>
      <c r="H11" s="44" t="inlineStr">
        <is>
          <t>Decision Governance &amp; Portfolio Integration</t>
        </is>
      </c>
      <c r="I11" s="44" t="inlineStr">
        <is>
          <t>E</t>
        </is>
      </c>
      <c r="J11" s="44" t="inlineStr">
        <is>
          <t>Standing adaptive portfolio system</t>
        </is>
      </c>
      <c r="K11" s="44" t="inlineStr">
        <is>
          <t>Prioritization operates as a standing management system rather than an episodic workshop. New demand enters through a known path; comparable evidence is assembled; alternatives are challenged; and capacity, funding, dependencies, sequencing, and portfolio balance are resolved continuously. AI monitors material changes, maintains decision-ready scenarios, and initiates governed reconsideration. Routine low-consequence actions may be delegated within explicit authority, while consequential portfolio choices remain visibly human-owned.</t>
        </is>
      </c>
      <c r="L11" s="44" t="inlineStr">
        <is>
          <t>Governed intake-to-commit flow; live portfolio scenarios; event-driven reconsideration; bounded AI authority; rapid but traceable continue, pause, stop, accelerate, and reallocate decisions.</t>
        </is>
      </c>
      <c r="M11" s="44" t="inlineStr">
        <is>
          <t>Continuously test whether adaptive speed is preserving strategic coherence and constitutional authority rather than amplifying short-term noise.</t>
        </is>
      </c>
      <c r="N11" s="1" t="n"/>
      <c r="O11" s="1" t="n"/>
      <c r="P11" s="1" t="n"/>
      <c r="Q11" s="1" t="n"/>
      <c r="R11" s="1" t="n"/>
      <c r="S11" s="1" t="n"/>
      <c r="T11" s="1" t="n"/>
      <c r="U11" s="1" t="n"/>
      <c r="V11" s="1" t="n"/>
      <c r="W11" s="1" t="n"/>
      <c r="X11" s="1" t="n"/>
      <c r="Y11" s="1" t="n"/>
      <c r="Z11" s="1" t="n"/>
    </row>
    <row r="12" ht="52" customHeight="1">
      <c r="A12" s="1" t="n"/>
      <c r="B12" s="1" t="n"/>
      <c r="C12" s="1" t="n"/>
      <c r="D12" s="1" t="n"/>
      <c r="E12" s="1" t="n"/>
      <c r="F12" s="44" t="inlineStr">
        <is>
          <t>D3|A</t>
        </is>
      </c>
      <c r="G12" s="44" t="inlineStr">
        <is>
          <t>D3</t>
        </is>
      </c>
      <c r="H12" s="44" t="inlineStr">
        <is>
          <t>Outcome Calibration &amp; Adaptation</t>
        </is>
      </c>
      <c r="I12" s="44" t="inlineStr">
        <is>
          <t>A</t>
        </is>
      </c>
      <c r="J12" s="44" t="inlineStr">
        <is>
          <t>No calibration</t>
        </is>
      </c>
      <c r="K12" s="44" t="inlineStr">
        <is>
          <t>Once work is approved, the prioritization decision is rarely revisited. Delivery may be tracked, and AI may summarize results after the fact, but the original value hypothesis, evidence, assumptions, and intended outcome are not preserved well enough to determine whether the decision was right.</t>
        </is>
      </c>
      <c r="L12" s="44" t="inlineStr">
        <is>
          <t>Shipped equals successful; no benefits review; no record of original assumptions; post-hoc AI summaries without a comparison baseline.</t>
        </is>
      </c>
      <c r="M12" s="44" t="inlineStr">
        <is>
          <t>For every material decision, preserve the expected outcome, measure, owner, review date, underlying value hypothesis, and originating intent.</t>
        </is>
      </c>
      <c r="N12" s="1" t="n"/>
      <c r="O12" s="1" t="n"/>
      <c r="P12" s="1" t="n"/>
      <c r="Q12" s="1" t="n"/>
      <c r="R12" s="1" t="n"/>
      <c r="S12" s="1" t="n"/>
      <c r="T12" s="1" t="n"/>
      <c r="U12" s="1" t="n"/>
      <c r="V12" s="1" t="n"/>
      <c r="W12" s="1" t="n"/>
      <c r="X12" s="1" t="n"/>
      <c r="Y12" s="1" t="n"/>
      <c r="Z12" s="1" t="n"/>
    </row>
    <row r="13" ht="52" customHeight="1">
      <c r="A13" s="1" t="n"/>
      <c r="B13" s="1" t="n"/>
      <c r="C13" s="1" t="n"/>
      <c r="D13" s="1" t="n"/>
      <c r="E13" s="1" t="n"/>
      <c r="F13" s="44" t="inlineStr">
        <is>
          <t>D3|B</t>
        </is>
      </c>
      <c r="G13" s="44" t="inlineStr">
        <is>
          <t>D3</t>
        </is>
      </c>
      <c r="H13" s="44" t="inlineStr">
        <is>
          <t>Outcome Calibration &amp; Adaptation</t>
        </is>
      </c>
      <c r="I13" s="44" t="inlineStr">
        <is>
          <t>B</t>
        </is>
      </c>
      <c r="J13" s="44" t="inlineStr">
        <is>
          <t>AI-assisted retrospective</t>
        </is>
      </c>
      <c r="K13" s="44" t="inlineStr">
        <is>
          <t>Major initiatives receive occasional after-action review. AI helps synthesize retrospectives and compare planned versus actual effort, timing, or selected business outcomes, but the analysis is episodic and selective. Lessons usually affect the next project informally rather than changing the prioritization model or portfolio.</t>
        </is>
      </c>
      <c r="L13" s="44" t="inlineStr">
        <is>
          <t>Project retrospectives; AI-assisted synthesis; planned-versus-actual delivery review; informal benefits discussion; isolated lessons.</t>
        </is>
      </c>
      <c r="M13" s="44" t="inlineStr">
        <is>
          <t>Require consistent outcome hypotheses and scheduled reviews, and link realized evidence back to the original decision rather than only to delivery performance.</t>
        </is>
      </c>
      <c r="N13" s="1" t="n"/>
      <c r="O13" s="1" t="n"/>
      <c r="P13" s="1" t="n"/>
      <c r="Q13" s="1" t="n"/>
      <c r="R13" s="1" t="n"/>
      <c r="S13" s="1" t="n"/>
      <c r="T13" s="1" t="n"/>
      <c r="U13" s="1" t="n"/>
      <c r="V13" s="1" t="n"/>
      <c r="W13" s="1" t="n"/>
      <c r="X13" s="1" t="n"/>
      <c r="Y13" s="1" t="n"/>
      <c r="Z13" s="1" t="n"/>
    </row>
    <row r="14" ht="65" customHeight="1">
      <c r="A14" s="1" t="n"/>
      <c r="B14" s="1" t="n"/>
      <c r="C14" s="1" t="n"/>
      <c r="D14" s="1" t="n"/>
      <c r="E14" s="1" t="n"/>
      <c r="F14" s="44" t="inlineStr">
        <is>
          <t>D3|C</t>
        </is>
      </c>
      <c r="G14" s="44" t="inlineStr">
        <is>
          <t>D3</t>
        </is>
      </c>
      <c r="H14" s="44" t="inlineStr">
        <is>
          <t>Outcome Calibration &amp; Adaptation</t>
        </is>
      </c>
      <c r="I14" s="44" t="inlineStr">
        <is>
          <t>C</t>
        </is>
      </c>
      <c r="J14" s="44" t="inlineStr">
        <is>
          <t>Governed outcome linkage</t>
        </is>
      </c>
      <c r="K14" s="44" t="inlineStr">
        <is>
          <t>Material prioritization decisions carry explicit expected outcomes, measures, timing, ownership, value hypotheses, and originating intent. AI connects the original decision to subsequent customer, market, financial, delivery, architectural, debt, and risk evidence, flags material variance, and keeps verified evidence, reported information, assumptions, and inference visibly distinct.</t>
        </is>
      </c>
      <c r="L14" s="44" t="inlineStr">
        <is>
          <t>Benefits register; decision-to-outcome traceability; named outcome owner; AI-assembled evidence package; forecast-versus-actual review; model-change log.</t>
        </is>
      </c>
      <c r="M14" s="44" t="inlineStr">
        <is>
          <t>Measure forecast accuracy and recurring bias by criterion, investment type, product area, and decision team, using independent analysis where practical.</t>
        </is>
      </c>
      <c r="N14" s="1" t="n"/>
      <c r="O14" s="1" t="n"/>
      <c r="P14" s="1" t="n"/>
      <c r="Q14" s="1" t="n"/>
      <c r="R14" s="1" t="n"/>
      <c r="S14" s="1" t="n"/>
      <c r="T14" s="1" t="n"/>
      <c r="U14" s="1" t="n"/>
      <c r="V14" s="1" t="n"/>
      <c r="W14" s="1" t="n"/>
      <c r="X14" s="1" t="n"/>
      <c r="Y14" s="1" t="n"/>
      <c r="Z14" s="1" t="n"/>
    </row>
    <row r="15" ht="78" customHeight="1">
      <c r="A15" s="1" t="n"/>
      <c r="B15" s="1" t="n"/>
      <c r="C15" s="1" t="n"/>
      <c r="D15" s="1" t="n"/>
      <c r="E15" s="1" t="n"/>
      <c r="F15" s="44" t="inlineStr">
        <is>
          <t>D3|D</t>
        </is>
      </c>
      <c r="G15" s="44" t="inlineStr">
        <is>
          <t>D3</t>
        </is>
      </c>
      <c r="H15" s="44" t="inlineStr">
        <is>
          <t>Outcome Calibration &amp; Adaptation</t>
        </is>
      </c>
      <c r="I15" s="44" t="inlineStr">
        <is>
          <t>D</t>
        </is>
      </c>
      <c r="J15" s="44" t="inlineStr">
        <is>
          <t>Empirical bias correction</t>
        </is>
      </c>
      <c r="K15" s="44" t="inlineStr">
        <is>
          <t>AI identifies where the organization systematically overstates value, understates effort, misses timing, discounts risk, or misreads evidence. Forecast accuracy and bias are measured by criterion, team, product area, and investment type. Scoring anchors, confidence ranges, weights, and governance practices are adjusted empirically, and continue, expand, pause, or stop decisions occur before all planned investment is consumed.</t>
        </is>
      </c>
      <c r="L15" s="44" t="inlineStr">
        <is>
          <t>Bias analysis; criterion calibration; confidence ranges; independent AI review; stage decisions; evidence-based model revisions; preserved decision lineage.</t>
        </is>
      </c>
      <c r="M15" s="44" t="inlineStr">
        <is>
          <t>Close the loop to enterprise intent: distinguish execution failure, forecast error, model error, and possible intent failure, then route each to its proper authority.</t>
        </is>
      </c>
      <c r="N15" s="1" t="n"/>
      <c r="O15" s="1" t="n"/>
      <c r="P15" s="1" t="n"/>
      <c r="Q15" s="1" t="n"/>
      <c r="R15" s="1" t="n"/>
      <c r="S15" s="1" t="n"/>
      <c r="T15" s="1" t="n"/>
      <c r="U15" s="1" t="n"/>
      <c r="V15" s="1" t="n"/>
      <c r="W15" s="1" t="n"/>
      <c r="X15" s="1" t="n"/>
      <c r="Y15" s="1" t="n"/>
      <c r="Z15" s="1" t="n"/>
    </row>
    <row r="16" ht="104" customHeight="1">
      <c r="A16" s="1" t="n"/>
      <c r="B16" s="1" t="n"/>
      <c r="C16" s="1" t="n"/>
      <c r="D16" s="1" t="n"/>
      <c r="E16" s="1" t="n"/>
      <c r="F16" s="44" t="inlineStr">
        <is>
          <t>D3|E</t>
        </is>
      </c>
      <c r="G16" s="44" t="inlineStr">
        <is>
          <t>D3</t>
        </is>
      </c>
      <c r="H16" s="44" t="inlineStr">
        <is>
          <t>Outcome Calibration &amp; Adaptation</t>
        </is>
      </c>
      <c r="I16" s="44" t="inlineStr">
        <is>
          <t>E</t>
        </is>
      </c>
      <c r="J16" s="44" t="inlineStr">
        <is>
          <t>Closed-loop intent calibration</t>
        </is>
      </c>
      <c r="K16" s="44" t="inlineStr">
        <is>
          <t>Product prioritization operates as a continuous learning loop. Customer, market, financial, delivery, architectural, debt, and risk evidence is traced back to the original value hypothesis and the intent it served. AI assistance detects variance, systematic bias, model drift, and emerging opportunity while work is still underway, distinguishing execution failure from forecasting error, model error, and possible intent failure. The portfolio, prioritization model, and—when warranted—the originating intent can each be reconsidered through their proper authority, without losing decision lineage or converting inference into fact.</t>
        </is>
      </c>
      <c r="L16" s="44" t="inlineStr">
        <is>
          <t>Continuous outcome signals; intent-to-decision-to-outcome traceability; failure-class diagnosis; model-drift checks; early continue, pause, stop, or redirect decisions; preserved evidence and authority lineage.</t>
        </is>
      </c>
      <c r="M16" s="44" t="inlineStr">
        <is>
          <t>Sustain epistemic and constitutional discipline: ensure the loop can challenge intent without allowing AI inference to silently become enterprise intent.</t>
        </is>
      </c>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
  <cols>
    <col width="14" customWidth="1" min="1" max="2"/>
    <col width="5" customWidth="1" min="3" max="3"/>
    <col width="14" customWidth="1" min="4" max="5"/>
    <col width="5" customWidth="1" min="6" max="6"/>
    <col width="14" customWidth="1" min="7" max="8"/>
    <col width="5" customWidth="1" min="9" max="9"/>
    <col width="14" customWidth="1" min="10" max="11"/>
    <col width="12" customWidth="1" min="12" max="12"/>
  </cols>
  <sheetData>
    <row r="1" ht="20" customHeight="1">
      <c r="A1" s="39" t="inlineStr">
        <is>
          <t>The Product Prioritization Intent Loop</t>
        </is>
      </c>
      <c r="M1" s="1" t="n"/>
      <c r="N1" s="1" t="n"/>
      <c r="O1" s="1" t="n"/>
      <c r="P1" s="1" t="n"/>
      <c r="Q1" s="1" t="n"/>
      <c r="R1" s="1" t="n"/>
      <c r="S1" s="1" t="n"/>
      <c r="T1" s="1" t="n"/>
      <c r="U1" s="1" t="n"/>
      <c r="V1" s="1" t="n"/>
      <c r="W1" s="1" t="n"/>
      <c r="X1" s="1" t="n"/>
      <c r="Y1" s="1" t="n"/>
      <c r="Z1" s="1" t="n"/>
    </row>
    <row r="2">
      <c r="A2" s="41" t="inlineStr">
        <is>
          <t>D3-E closes the loop from realized outcomes back to the originating enterprise intent.</t>
        </is>
      </c>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65" customHeight="1">
      <c r="A4" s="67" t="inlineStr">
        <is>
          <t>Enterprise Intent</t>
        </is>
      </c>
      <c r="C4" s="1" t="n"/>
      <c r="D4" s="68" t="inlineStr">
        <is>
          <t>D1
Value Model Coherence</t>
        </is>
      </c>
      <c r="F4" s="1" t="n"/>
      <c r="G4" s="69" t="inlineStr">
        <is>
          <t>D2
Decision Governance &amp;
Portfolio Integration</t>
        </is>
      </c>
      <c r="I4" s="1" t="n"/>
      <c r="J4" s="70" t="inlineStr">
        <is>
          <t>Execution
&amp; Outcomes</t>
        </is>
      </c>
      <c r="L4" s="1" t="n"/>
      <c r="M4" s="1" t="n"/>
      <c r="N4" s="1" t="n"/>
      <c r="O4" s="1" t="n"/>
      <c r="P4" s="1" t="n"/>
      <c r="Q4" s="1" t="n"/>
      <c r="R4" s="1" t="n"/>
      <c r="S4" s="1" t="n"/>
      <c r="T4" s="1" t="n"/>
      <c r="U4" s="1" t="n"/>
      <c r="V4" s="1" t="n"/>
      <c r="W4" s="1" t="n"/>
      <c r="X4" s="1" t="n"/>
      <c r="Y4" s="1" t="n"/>
      <c r="Z4" s="1" t="n"/>
    </row>
    <row r="5" ht="18.65" customHeight="1">
      <c r="C5" s="33" t="inlineStr">
        <is>
          <t>→</t>
        </is>
      </c>
      <c r="F5" s="33" t="inlineStr">
        <is>
          <t>→</t>
        </is>
      </c>
      <c r="I5" s="33" t="inlineStr">
        <is>
          <t>→</t>
        </is>
      </c>
      <c r="L5" s="1" t="n"/>
      <c r="M5" s="1" t="n"/>
      <c r="N5" s="1" t="n"/>
      <c r="O5" s="1" t="n"/>
      <c r="P5" s="1" t="n"/>
      <c r="Q5" s="1" t="n"/>
      <c r="R5" s="1" t="n"/>
      <c r="S5" s="1" t="n"/>
      <c r="T5" s="1" t="n"/>
      <c r="U5" s="1" t="n"/>
      <c r="V5" s="1" t="n"/>
      <c r="W5" s="1" t="n"/>
      <c r="X5" s="1" t="n"/>
      <c r="Y5" s="1" t="n"/>
      <c r="Z5" s="1" t="n"/>
    </row>
    <row r="6" ht="18.65" customHeight="1">
      <c r="C6" s="1" t="n"/>
      <c r="F6" s="1" t="n"/>
      <c r="I6" s="1" t="n"/>
      <c r="L6" s="1" t="n"/>
      <c r="M6" s="1" t="n"/>
      <c r="N6" s="1" t="n"/>
      <c r="O6" s="1" t="n"/>
      <c r="P6" s="1" t="n"/>
      <c r="Q6" s="1" t="n"/>
      <c r="R6" s="1" t="n"/>
      <c r="S6" s="1" t="n"/>
      <c r="T6" s="1" t="n"/>
      <c r="U6" s="1" t="n"/>
      <c r="V6" s="1" t="n"/>
      <c r="W6" s="1" t="n"/>
      <c r="X6" s="1" t="n"/>
      <c r="Y6" s="1" t="n"/>
      <c r="Z6" s="1" t="n"/>
    </row>
    <row r="7" ht="18.65" customHeight="1">
      <c r="A7" s="1" t="n"/>
      <c r="B7" s="1" t="n"/>
      <c r="C7" s="1" t="n"/>
      <c r="D7" s="1" t="n"/>
      <c r="E7" s="1" t="n"/>
      <c r="F7" s="1" t="n"/>
      <c r="G7" s="1" t="n"/>
      <c r="H7" s="1" t="n"/>
      <c r="I7" s="1" t="n"/>
      <c r="J7" s="1" t="n"/>
      <c r="K7" s="34" t="inlineStr">
        <is>
          <t>↓</t>
        </is>
      </c>
      <c r="L7" s="1" t="n"/>
      <c r="M7" s="1" t="n"/>
      <c r="N7" s="1" t="n"/>
      <c r="O7" s="1" t="n"/>
      <c r="P7" s="1" t="n"/>
      <c r="Q7" s="1" t="n"/>
      <c r="R7" s="1" t="n"/>
      <c r="S7" s="1" t="n"/>
      <c r="T7" s="1" t="n"/>
      <c r="U7" s="1" t="n"/>
      <c r="V7" s="1" t="n"/>
      <c r="W7" s="1" t="n"/>
      <c r="X7" s="1" t="n"/>
      <c r="Y7" s="1" t="n"/>
      <c r="Z7" s="1" t="n"/>
    </row>
    <row r="8" ht="18.6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8.65" customHeight="1">
      <c r="A9" s="66" t="inlineStr">
        <is>
          <t>Reconsider Enterprise Intent
when warranted</t>
        </is>
      </c>
      <c r="C9" s="1" t="n"/>
      <c r="D9" s="65" t="inlineStr">
        <is>
          <t>Correct Portfolio
or Value Model</t>
        </is>
      </c>
      <c r="F9" s="1" t="n"/>
      <c r="G9" s="64" t="inlineStr">
        <is>
          <t>Diagnose
Failure Class</t>
        </is>
      </c>
      <c r="I9" s="1" t="n"/>
      <c r="J9" s="63" t="inlineStr">
        <is>
          <t>D3
Outcome Calibration
&amp; Adaptation</t>
        </is>
      </c>
      <c r="L9" s="1" t="n"/>
      <c r="M9" s="1" t="n"/>
      <c r="N9" s="1" t="n"/>
      <c r="O9" s="1" t="n"/>
      <c r="P9" s="1" t="n"/>
      <c r="Q9" s="1" t="n"/>
      <c r="R9" s="1" t="n"/>
      <c r="S9" s="1" t="n"/>
      <c r="T9" s="1" t="n"/>
      <c r="U9" s="1" t="n"/>
      <c r="V9" s="1" t="n"/>
      <c r="W9" s="1" t="n"/>
      <c r="X9" s="1" t="n"/>
      <c r="Y9" s="1" t="n"/>
      <c r="Z9" s="1" t="n"/>
    </row>
    <row r="10" ht="18.65" customHeight="1">
      <c r="C10" s="33" t="inlineStr">
        <is>
          <t>←</t>
        </is>
      </c>
      <c r="F10" s="33" t="inlineStr">
        <is>
          <t>←</t>
        </is>
      </c>
      <c r="I10" s="33" t="inlineStr">
        <is>
          <t>←</t>
        </is>
      </c>
      <c r="L10" s="1" t="n"/>
      <c r="M10" s="1" t="n"/>
      <c r="N10" s="1" t="n"/>
      <c r="O10" s="1" t="n"/>
      <c r="P10" s="1" t="n"/>
      <c r="Q10" s="1" t="n"/>
      <c r="R10" s="1" t="n"/>
      <c r="S10" s="1" t="n"/>
      <c r="T10" s="1" t="n"/>
      <c r="U10" s="1" t="n"/>
      <c r="V10" s="1" t="n"/>
      <c r="W10" s="1" t="n"/>
      <c r="X10" s="1" t="n"/>
      <c r="Y10" s="1" t="n"/>
      <c r="Z10" s="1" t="n"/>
    </row>
    <row r="11" ht="18.65" customHeight="1">
      <c r="C11" s="1" t="n"/>
      <c r="F11" s="1" t="n"/>
      <c r="I11" s="1" t="n"/>
      <c r="L11" s="1" t="n"/>
      <c r="M11" s="1" t="n"/>
      <c r="N11" s="1" t="n"/>
      <c r="O11" s="1" t="n"/>
      <c r="P11" s="1" t="n"/>
      <c r="Q11" s="1" t="n"/>
      <c r="R11" s="1" t="n"/>
      <c r="S11" s="1" t="n"/>
      <c r="T11" s="1" t="n"/>
      <c r="U11" s="1" t="n"/>
      <c r="V11" s="1" t="n"/>
      <c r="W11" s="1" t="n"/>
      <c r="X11" s="1" t="n"/>
      <c r="Y11" s="1" t="n"/>
      <c r="Z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5" customHeight="1">
      <c r="A13" s="38" t="inlineStr">
        <is>
          <t>D3-E failure classification</t>
        </is>
      </c>
      <c r="M13" s="1" t="n"/>
      <c r="N13" s="1" t="n"/>
      <c r="O13" s="1" t="n"/>
      <c r="P13" s="1" t="n"/>
      <c r="Q13" s="1" t="n"/>
      <c r="R13" s="1" t="n"/>
      <c r="S13" s="1" t="n"/>
      <c r="T13" s="1" t="n"/>
      <c r="U13" s="1" t="n"/>
      <c r="V13" s="1" t="n"/>
      <c r="W13" s="1" t="n"/>
      <c r="X13" s="1" t="n"/>
      <c r="Y13" s="1" t="n"/>
      <c r="Z13" s="1" t="n"/>
    </row>
    <row r="14">
      <c r="A14" s="47" t="inlineStr">
        <is>
          <t>Failure class</t>
        </is>
      </c>
      <c r="B14" s="47" t="inlineStr">
        <is>
          <t>What failed?</t>
        </is>
      </c>
      <c r="D14" s="47" t="inlineStr">
        <is>
          <t>Primary correction</t>
        </is>
      </c>
      <c r="G14" s="47" t="inlineStr">
        <is>
          <t>AI-native contribution</t>
        </is>
      </c>
      <c r="K14" s="47" t="inlineStr">
        <is>
          <t>Authority</t>
        </is>
      </c>
      <c r="M14" s="1" t="n"/>
      <c r="N14" s="1" t="n"/>
      <c r="O14" s="1" t="n"/>
      <c r="P14" s="1" t="n"/>
      <c r="Q14" s="1" t="n"/>
      <c r="R14" s="1" t="n"/>
      <c r="S14" s="1" t="n"/>
      <c r="T14" s="1" t="n"/>
      <c r="U14" s="1" t="n"/>
      <c r="V14" s="1" t="n"/>
      <c r="W14" s="1" t="n"/>
      <c r="X14" s="1" t="n"/>
      <c r="Y14" s="1" t="n"/>
      <c r="Z14" s="1" t="n"/>
    </row>
    <row r="15" ht="38.65" customHeight="1">
      <c r="A15" s="30" t="inlineStr">
        <is>
          <t>Execution failure</t>
        </is>
      </c>
      <c r="B15" s="62" t="inlineStr">
        <is>
          <t>The work did not realize an otherwise sound hypothesis.</t>
        </is>
      </c>
      <c r="D15" s="62" t="inlineStr">
        <is>
          <t>Correct delivery, sequencing, capability, or implementation.</t>
        </is>
      </c>
      <c r="G15" s="62" t="inlineStr">
        <is>
          <t>Detect variance and assemble evidence without rewriting the original hypothesis.</t>
        </is>
      </c>
      <c r="K15" s="62" t="inlineStr">
        <is>
          <t>Delivery / portfolio authority</t>
        </is>
      </c>
      <c r="M15" s="1" t="n"/>
      <c r="N15" s="1" t="n"/>
      <c r="O15" s="1" t="n"/>
      <c r="P15" s="1" t="n"/>
      <c r="Q15" s="1" t="n"/>
      <c r="R15" s="1" t="n"/>
      <c r="S15" s="1" t="n"/>
      <c r="T15" s="1" t="n"/>
      <c r="U15" s="1" t="n"/>
      <c r="V15" s="1" t="n"/>
      <c r="W15" s="1" t="n"/>
      <c r="X15" s="1" t="n"/>
      <c r="Y15" s="1" t="n"/>
      <c r="Z15" s="1" t="n"/>
    </row>
    <row r="16" ht="38.65" customHeight="1">
      <c r="A16" s="32" t="inlineStr">
        <is>
          <t>Forecast error</t>
        </is>
      </c>
      <c r="B16" s="60" t="inlineStr">
        <is>
          <t>The value, effort, timing, or risk estimate was wrong.</t>
        </is>
      </c>
      <c r="D16" s="60" t="inlineStr">
        <is>
          <t>Calibrate scoring anchors, confidence, and forecasting method.</t>
        </is>
      </c>
      <c r="G16" s="60" t="inlineStr">
        <is>
          <t>Identify systematic bias by criterion, team, product area, or investment type.</t>
        </is>
      </c>
      <c r="K16" s="60" t="inlineStr">
        <is>
          <t>Model owner / portfolio governance</t>
        </is>
      </c>
      <c r="M16" s="1" t="n"/>
      <c r="N16" s="1" t="n"/>
      <c r="O16" s="1" t="n"/>
      <c r="P16" s="1" t="n"/>
      <c r="Q16" s="1" t="n"/>
      <c r="R16" s="1" t="n"/>
      <c r="S16" s="1" t="n"/>
      <c r="T16" s="1" t="n"/>
      <c r="U16" s="1" t="n"/>
      <c r="V16" s="1" t="n"/>
      <c r="W16" s="1" t="n"/>
      <c r="X16" s="1" t="n"/>
      <c r="Y16" s="1" t="n"/>
      <c r="Z16" s="1" t="n"/>
    </row>
    <row r="17" ht="38.65" customHeight="1">
      <c r="A17" s="35" t="inlineStr">
        <is>
          <t>Model error</t>
        </is>
      </c>
      <c r="B17" s="61" t="inlineStr">
        <is>
          <t>The prioritization model omitted, duplicated, or misweighted a material factor.</t>
        </is>
      </c>
      <c r="D17" s="61" t="inlineStr">
        <is>
          <t>Revise criteria, weights, evidence standards, or governance.</t>
        </is>
      </c>
      <c r="G17" s="61" t="inlineStr">
        <is>
          <t>Detect model drift and propose explainable changes with preserved provenance.</t>
        </is>
      </c>
      <c r="K17" s="61" t="inlineStr">
        <is>
          <t>Value-model authority</t>
        </is>
      </c>
      <c r="M17" s="1" t="n"/>
      <c r="N17" s="1" t="n"/>
      <c r="O17" s="1" t="n"/>
      <c r="P17" s="1" t="n"/>
      <c r="Q17" s="1" t="n"/>
      <c r="R17" s="1" t="n"/>
      <c r="S17" s="1" t="n"/>
      <c r="T17" s="1" t="n"/>
      <c r="U17" s="1" t="n"/>
      <c r="V17" s="1" t="n"/>
      <c r="W17" s="1" t="n"/>
      <c r="X17" s="1" t="n"/>
      <c r="Y17" s="1" t="n"/>
      <c r="Z17" s="1" t="n"/>
    </row>
    <row r="18" ht="38.65" customHeight="1">
      <c r="A18" s="36" t="inlineStr">
        <is>
          <t>Possible intent failure</t>
        </is>
      </c>
      <c r="B18" s="59" t="inlineStr">
        <is>
          <t>The decision and model may be working against stale, incoherent, or incorrect enterprise intent.</t>
        </is>
      </c>
      <c r="D18" s="59" t="inlineStr">
        <is>
          <t>Reconsider originating intent through its proper constitutional authority.</t>
        </is>
      </c>
      <c r="G18" s="59" t="inlineStr">
        <is>
          <t>Surface the pattern and evidence; never silently redefine intent.</t>
        </is>
      </c>
      <c r="K18" s="59" t="inlineStr">
        <is>
          <t>Enterprise intent authority</t>
        </is>
      </c>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37" t="inlineStr">
        <is>
          <t>AI does not own the loop. It keeps the evidence, alternatives, consequences, and learning continuously available and governable. Human authority remains explicit at every correction point, especially when the evidence reaches back to the organization's originating intent.</t>
        </is>
      </c>
      <c r="M20" s="1" t="n"/>
      <c r="N20" s="1" t="n"/>
      <c r="O20" s="1" t="n"/>
      <c r="P20" s="1" t="n"/>
      <c r="Q20" s="1" t="n"/>
      <c r="R20" s="1" t="n"/>
      <c r="S20" s="1" t="n"/>
      <c r="T20" s="1" t="n"/>
      <c r="U20" s="1" t="n"/>
      <c r="V20" s="1" t="n"/>
      <c r="W20" s="1" t="n"/>
      <c r="X20" s="1" t="n"/>
      <c r="Y20" s="1" t="n"/>
      <c r="Z20" s="1" t="n"/>
    </row>
    <row r="21">
      <c r="M21" s="1" t="n"/>
      <c r="N21" s="1" t="n"/>
      <c r="O21" s="1" t="n"/>
      <c r="P21" s="1" t="n"/>
      <c r="Q21" s="1" t="n"/>
      <c r="R21" s="1" t="n"/>
      <c r="S21" s="1" t="n"/>
      <c r="T21" s="1" t="n"/>
      <c r="U21" s="1" t="n"/>
      <c r="V21" s="1" t="n"/>
      <c r="W21" s="1" t="n"/>
      <c r="X21" s="1" t="n"/>
      <c r="Y21" s="1" t="n"/>
      <c r="Z21" s="1" t="n"/>
    </row>
    <row r="22">
      <c r="M22" s="1" t="n"/>
      <c r="N22" s="1" t="n"/>
      <c r="O22" s="1" t="n"/>
      <c r="P22" s="1" t="n"/>
      <c r="Q22" s="1" t="n"/>
      <c r="R22" s="1" t="n"/>
      <c r="S22" s="1" t="n"/>
      <c r="T22" s="1" t="n"/>
      <c r="U22" s="1" t="n"/>
      <c r="V22" s="1" t="n"/>
      <c r="W22" s="1" t="n"/>
      <c r="X22" s="1" t="n"/>
      <c r="Y22" s="1" t="n"/>
      <c r="Z22" s="1" t="n"/>
    </row>
    <row r="23">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sheetData>
  <mergeCells count="32">
    <mergeCell ref="K16:L16"/>
    <mergeCell ref="B16:C16"/>
    <mergeCell ref="A20:L23"/>
    <mergeCell ref="K15:L15"/>
    <mergeCell ref="A9:B11"/>
    <mergeCell ref="D17:F17"/>
    <mergeCell ref="G16:J16"/>
    <mergeCell ref="B18:C18"/>
    <mergeCell ref="D16:F16"/>
    <mergeCell ref="A2:L2"/>
    <mergeCell ref="D18:F18"/>
    <mergeCell ref="B14:C14"/>
    <mergeCell ref="J9:K11"/>
    <mergeCell ref="B17:C17"/>
    <mergeCell ref="D15:F15"/>
    <mergeCell ref="D14:F14"/>
    <mergeCell ref="G17:J17"/>
    <mergeCell ref="A13:L13"/>
    <mergeCell ref="D4:E6"/>
    <mergeCell ref="K14:L14"/>
    <mergeCell ref="J4:K6"/>
    <mergeCell ref="K17:L17"/>
    <mergeCell ref="G18:J18"/>
    <mergeCell ref="B15:C15"/>
    <mergeCell ref="A1:L1"/>
    <mergeCell ref="D9:E11"/>
    <mergeCell ref="G15:J15"/>
    <mergeCell ref="A4:B6"/>
    <mergeCell ref="G4:H6"/>
    <mergeCell ref="K18:L18"/>
    <mergeCell ref="G9:H11"/>
    <mergeCell ref="G14:J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You</dc:creator>
  <dcterms:created xsi:type="dcterms:W3CDTF">2026-07-21T05:33:24Z</dcterms:created>
  <dcterms:modified xsi:type="dcterms:W3CDTF">2026-07-27T01:52:14Z</dcterms:modified>
  <cp:lastModifiedBy>David Facer</cp:lastModifiedBy>
</cp:coreProperties>
</file>